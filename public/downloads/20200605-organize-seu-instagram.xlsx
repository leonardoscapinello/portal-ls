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OneDrive\Corporações\Leonardo Scapinello\Branding\Documentos Promocionais\"/>
    </mc:Choice>
  </mc:AlternateContent>
  <workbookProtection lockStructure="1"/>
  <bookViews>
    <workbookView xWindow="0" yWindow="0" windowWidth="26565" windowHeight="10950" firstSheet="2" activeTab="3"/>
  </bookViews>
  <sheets>
    <sheet name="Planilhas de Base" sheetId="3" state="hidden" r:id="rId1"/>
    <sheet name="Campos de Selação" sheetId="2" state="hidden" r:id="rId2"/>
    <sheet name="Dashboard" sheetId="4" r:id="rId3"/>
    <sheet name="Calendário de Postagens" sheetId="1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3" l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B17" i="3"/>
  <c r="C17" i="3" s="1"/>
  <c r="B15" i="3"/>
  <c r="B14" i="3"/>
  <c r="B13" i="3"/>
  <c r="B9" i="3"/>
  <c r="B10" i="3"/>
  <c r="B11" i="3"/>
  <c r="B7" i="3"/>
  <c r="B3" i="3"/>
  <c r="B2" i="3"/>
  <c r="E1" i="3"/>
  <c r="B1" i="3"/>
  <c r="C13" i="3" l="1"/>
  <c r="C14" i="3"/>
  <c r="B4" i="3"/>
  <c r="D11" i="3" s="1"/>
  <c r="C15" i="3"/>
  <c r="B8" i="3"/>
  <c r="B16" i="3"/>
  <c r="E4" i="3"/>
  <c r="E3" i="3"/>
  <c r="D8" i="3" l="1"/>
  <c r="C16" i="3"/>
  <c r="D9" i="3"/>
  <c r="D10" i="3"/>
  <c r="D7" i="3"/>
</calcChain>
</file>

<file path=xl/sharedStrings.xml><?xml version="1.0" encoding="utf-8"?>
<sst xmlns="http://schemas.openxmlformats.org/spreadsheetml/2006/main" count="54" uniqueCount="36">
  <si>
    <t>DATA</t>
  </si>
  <si>
    <t>HORA</t>
  </si>
  <si>
    <t>ASSUNTO</t>
  </si>
  <si>
    <t>FORMATO</t>
  </si>
  <si>
    <t>TEMA</t>
  </si>
  <si>
    <t>CURTIDAS</t>
  </si>
  <si>
    <t>COMENTÁRIOS</t>
  </si>
  <si>
    <t>SALVOS</t>
  </si>
  <si>
    <t>INTERAÇÃO NAS PRIMEIRAS 24 HORAS</t>
  </si>
  <si>
    <t>PLANILHA DE ORGANIZAÇÃO PARA INSTAGRAM</t>
  </si>
  <si>
    <t>Imagem</t>
  </si>
  <si>
    <t>Vídeo</t>
  </si>
  <si>
    <t>Informativo</t>
  </si>
  <si>
    <t>Publicidade</t>
  </si>
  <si>
    <t>Promocional</t>
  </si>
  <si>
    <t>Criação de Marca</t>
  </si>
  <si>
    <t>Infográfico</t>
  </si>
  <si>
    <t>ALCANCE</t>
  </si>
  <si>
    <t>ENGAJAMENTO</t>
  </si>
  <si>
    <t>Total de Posts</t>
  </si>
  <si>
    <t>Video</t>
  </si>
  <si>
    <t xml:space="preserve">Soma Engajamento Imagem </t>
  </si>
  <si>
    <t xml:space="preserve">Soma Engajamento Video </t>
  </si>
  <si>
    <t>Qtd. Imagens</t>
  </si>
  <si>
    <t>Qtd. Vídeos</t>
  </si>
  <si>
    <t>Soma Total Engajamento</t>
  </si>
  <si>
    <t>&lt;- Média de engajamento</t>
  </si>
  <si>
    <t>&lt;- Soma do engajamento</t>
  </si>
  <si>
    <t>&lt;- Divide pelo total</t>
  </si>
  <si>
    <t>Sem Interação</t>
  </si>
  <si>
    <t>Curtidas</t>
  </si>
  <si>
    <t>Comentários</t>
  </si>
  <si>
    <t>Salvos</t>
  </si>
  <si>
    <t>Alcance Total</t>
  </si>
  <si>
    <t>&lt;-- Soma total de todas as linhas</t>
  </si>
  <si>
    <t xml:space="preserve"> Use a tecla TAB para adicionar valores a tabela.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</si>
</sst>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9" fontId="0" fillId="0" borderId="0" xfId="1" applyFont="1"/>
    <xf numFmtId="14" fontId="2" fillId="4" borderId="4" xfId="0" applyNumberFormat="1" applyFont="1" applyFill="1" applyBorder="1" applyProtection="1">
      <protection locked="0"/>
    </xf>
    <xf numFmtId="164" fontId="2" fillId="4" borderId="2" xfId="0" applyNumberFormat="1" applyFont="1" applyFill="1" applyBorder="1" applyProtection="1">
      <protection locked="0"/>
    </xf>
    <xf numFmtId="0" fontId="2" fillId="4" borderId="2" xfId="0" applyFont="1" applyFill="1" applyBorder="1" applyProtection="1">
      <protection locked="0"/>
    </xf>
    <xf numFmtId="10" fontId="2" fillId="4" borderId="5" xfId="0" applyNumberFormat="1" applyFont="1" applyFill="1" applyBorder="1" applyProtection="1">
      <protection locked="0"/>
    </xf>
    <xf numFmtId="14" fontId="0" fillId="0" borderId="6" xfId="0" applyNumberFormat="1" applyBorder="1" applyProtection="1">
      <protection locked="0"/>
    </xf>
    <xf numFmtId="164" fontId="0" fillId="0" borderId="3" xfId="0" applyNumberFormat="1" applyBorder="1" applyProtection="1">
      <protection locked="0"/>
    </xf>
    <xf numFmtId="0" fontId="0" fillId="0" borderId="3" xfId="0" applyBorder="1" applyProtection="1">
      <protection locked="0"/>
    </xf>
    <xf numFmtId="0" fontId="0" fillId="0" borderId="7" xfId="0" applyBorder="1" applyProtection="1">
      <protection locked="0"/>
    </xf>
    <xf numFmtId="10" fontId="0" fillId="0" borderId="8" xfId="0" applyNumberFormat="1" applyBorder="1" applyProtection="1">
      <protection locked="0"/>
    </xf>
    <xf numFmtId="14" fontId="0" fillId="0" borderId="10" xfId="0" applyNumberFormat="1" applyBorder="1" applyProtection="1">
      <protection locked="0"/>
    </xf>
    <xf numFmtId="164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10" fontId="0" fillId="0" borderId="11" xfId="0" applyNumberFormat="1" applyBorder="1" applyProtection="1">
      <protection locked="0"/>
    </xf>
    <xf numFmtId="0" fontId="0" fillId="0" borderId="0" xfId="0" applyProtection="1"/>
    <xf numFmtId="14" fontId="0" fillId="0" borderId="0" xfId="0" applyNumberFormat="1" applyProtection="1"/>
    <xf numFmtId="164" fontId="0" fillId="0" borderId="0" xfId="0" applyNumberFormat="1" applyProtection="1"/>
    <xf numFmtId="10" fontId="0" fillId="0" borderId="0" xfId="0" applyNumberFormat="1" applyProtection="1"/>
    <xf numFmtId="10" fontId="0" fillId="0" borderId="9" xfId="0" applyNumberFormat="1" applyBorder="1" applyProtection="1">
      <protection locked="0"/>
    </xf>
    <xf numFmtId="14" fontId="0" fillId="0" borderId="0" xfId="0" applyNumberFormat="1" applyProtection="1">
      <protection locked="0"/>
    </xf>
    <xf numFmtId="164" fontId="0" fillId="0" borderId="0" xfId="0" applyNumberFormat="1" applyProtection="1">
      <protection locked="0"/>
    </xf>
    <xf numFmtId="0" fontId="0" fillId="0" borderId="0" xfId="0" applyProtection="1">
      <protection locked="0"/>
    </xf>
    <xf numFmtId="10" fontId="0" fillId="0" borderId="0" xfId="0" applyNumberFormat="1" applyProtection="1">
      <protection locked="0"/>
    </xf>
    <xf numFmtId="0" fontId="0" fillId="2" borderId="0" xfId="0" applyFill="1" applyAlignment="1">
      <alignment horizontal="center"/>
    </xf>
    <xf numFmtId="0" fontId="3" fillId="3" borderId="0" xfId="0" applyFont="1" applyFill="1" applyBorder="1" applyAlignment="1" applyProtection="1">
      <alignment horizontal="center" vertical="center"/>
    </xf>
    <xf numFmtId="0" fontId="5" fillId="0" borderId="0" xfId="0" applyFont="1" applyAlignment="1" applyProtection="1">
      <alignment horizontal="center" vertical="center"/>
    </xf>
    <xf numFmtId="0" fontId="4" fillId="0" borderId="0" xfId="0" applyFont="1" applyAlignment="1" applyProtection="1">
      <alignment horizontal="center" vertical="center"/>
    </xf>
  </cellXfs>
  <cellStyles count="2">
    <cellStyle name="Normal" xfId="0" builtinId="0"/>
    <cellStyle name="Porcentagem" xfId="1" builtinId="5"/>
  </cellStyles>
  <dxfs count="14">
    <dxf>
      <numFmt numFmtId="14" formatCode="0.00%"/>
      <border diagonalUp="0" diagonalDown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</border>
      <protection locked="0" hidden="0"/>
    </dxf>
    <dxf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numFmt numFmtId="164" formatCode="[$-F400]h:mm:ss\ AM/PM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</border>
      <protection locked="0" hidden="0"/>
    </dxf>
    <dxf>
      <numFmt numFmtId="19" formatCode="dd/mm/yyyy"/>
      <border diagonalUp="0" diagonalDown="0">
        <left/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</border>
      <protection locked="0" hidden="0"/>
    </dxf>
    <dxf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protection locked="0" hidden="0"/>
    </dxf>
    <dxf>
      <border outline="0"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/>
        <bottom/>
        <vertical style="thin">
          <color theme="0" tint="-0.249977111117893"/>
        </vertical>
      </border>
      <protection locked="0" hidden="0"/>
    </dxf>
  </dxfs>
  <tableStyles count="0" defaultTableStyle="TableStyleMedium2" defaultPivotStyle="PivotStyleLight16"/>
  <colors>
    <mruColors>
      <color rgb="FF6CA62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Média de Engajamento por Formato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'Planilhas de Base'!$D$3:$D$4</c:f>
              <c:strCache>
                <c:ptCount val="2"/>
                <c:pt idx="0">
                  <c:v>Imagem</c:v>
                </c:pt>
                <c:pt idx="1">
                  <c:v>Vídeo</c:v>
                </c:pt>
              </c:strCache>
            </c:strRef>
          </c:cat>
          <c:val>
            <c:numRef>
              <c:f>'Planilhas de Base'!$E$3:$E$4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FD-4697-B878-5B49AAAAF5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15046719"/>
        <c:axId val="815047135"/>
      </c:barChart>
      <c:catAx>
        <c:axId val="8150467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15047135"/>
        <c:crosses val="autoZero"/>
        <c:auto val="1"/>
        <c:lblAlgn val="ctr"/>
        <c:lblOffset val="100"/>
        <c:noMultiLvlLbl val="0"/>
      </c:catAx>
      <c:valAx>
        <c:axId val="815047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15046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Índice de Posts por Formato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38B-4F08-86CE-BB3BA2C1C4FC}"/>
              </c:ext>
            </c:extLst>
          </c:dPt>
          <c:dPt>
            <c:idx val="1"/>
            <c:bubble3D val="0"/>
            <c:spPr>
              <a:solidFill>
                <a:schemeClr val="accent6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38B-4F08-86CE-BB3BA2C1C4FC}"/>
              </c:ext>
            </c:extLst>
          </c:dPt>
          <c:cat>
            <c:strRef>
              <c:f>'Planilhas de Base'!$A$2:$A$3</c:f>
              <c:strCache>
                <c:ptCount val="2"/>
                <c:pt idx="0">
                  <c:v>Qtd. Imagens</c:v>
                </c:pt>
                <c:pt idx="1">
                  <c:v>Qtd. Vídeos</c:v>
                </c:pt>
              </c:strCache>
            </c:strRef>
          </c:cat>
          <c:val>
            <c:numRef>
              <c:f>'Planilhas de Base'!$B$2:$B$3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38B-4F08-86CE-BB3BA2C1C4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Tema</a:t>
            </a:r>
            <a:r>
              <a:rPr lang="pt-BR" baseline="0"/>
              <a:t> com maior engajamento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'Planilhas de Base'!$A$7:$A$11</c:f>
              <c:strCache>
                <c:ptCount val="5"/>
                <c:pt idx="0">
                  <c:v>Informativo</c:v>
                </c:pt>
                <c:pt idx="1">
                  <c:v>Infográfico</c:v>
                </c:pt>
                <c:pt idx="2">
                  <c:v>Publicidade</c:v>
                </c:pt>
                <c:pt idx="3">
                  <c:v>Promocional</c:v>
                </c:pt>
                <c:pt idx="4">
                  <c:v>Criação de Marca</c:v>
                </c:pt>
              </c:strCache>
            </c:strRef>
          </c:cat>
          <c:val>
            <c:numRef>
              <c:f>'Planilhas de Base'!$D$7:$D$11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91-4B63-BD92-47690FDB8E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9082047"/>
        <c:axId val="739082463"/>
      </c:barChart>
      <c:catAx>
        <c:axId val="739082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39082463"/>
        <c:crosses val="autoZero"/>
        <c:auto val="1"/>
        <c:lblAlgn val="ctr"/>
        <c:lblOffset val="100"/>
        <c:noMultiLvlLbl val="0"/>
      </c:catAx>
      <c:valAx>
        <c:axId val="739082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39082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Resumo das</a:t>
            </a:r>
            <a:r>
              <a:rPr lang="pt-BR" baseline="0"/>
              <a:t> Interações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'Planilhas de Base'!$A$13:$A$16</c:f>
              <c:strCache>
                <c:ptCount val="4"/>
                <c:pt idx="0">
                  <c:v>Curtidas</c:v>
                </c:pt>
                <c:pt idx="1">
                  <c:v>Comentários</c:v>
                </c:pt>
                <c:pt idx="2">
                  <c:v>Salvos</c:v>
                </c:pt>
                <c:pt idx="3">
                  <c:v>Sem Interação</c:v>
                </c:pt>
              </c:strCache>
            </c:strRef>
          </c:cat>
          <c:val>
            <c:numRef>
              <c:f>'Planilhas de Base'!$B$13:$B$16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A6-4CC2-8CF6-05554012E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9865279"/>
        <c:axId val="819866527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6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'Planilhas de Base'!$A$13:$A$16</c:f>
              <c:strCache>
                <c:ptCount val="4"/>
                <c:pt idx="0">
                  <c:v>Curtidas</c:v>
                </c:pt>
                <c:pt idx="1">
                  <c:v>Comentários</c:v>
                </c:pt>
                <c:pt idx="2">
                  <c:v>Salvos</c:v>
                </c:pt>
                <c:pt idx="3">
                  <c:v>Sem Interação</c:v>
                </c:pt>
              </c:strCache>
            </c:strRef>
          </c:cat>
          <c:val>
            <c:numRef>
              <c:f>'Planilhas de Base'!$C$13:$C$16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A6-4CC2-8CF6-05554012E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9866111"/>
        <c:axId val="819865695"/>
      </c:lineChart>
      <c:catAx>
        <c:axId val="819865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19866527"/>
        <c:crosses val="autoZero"/>
        <c:auto val="1"/>
        <c:lblAlgn val="ctr"/>
        <c:lblOffset val="100"/>
        <c:noMultiLvlLbl val="0"/>
      </c:catAx>
      <c:valAx>
        <c:axId val="81986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19865279"/>
        <c:crosses val="autoZero"/>
        <c:crossBetween val="between"/>
      </c:valAx>
      <c:valAx>
        <c:axId val="819865695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19866111"/>
        <c:crosses val="max"/>
        <c:crossBetween val="between"/>
      </c:valAx>
      <c:catAx>
        <c:axId val="81986611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1986569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pt-BR">
                <a:solidFill>
                  <a:schemeClr val="bg1">
                    <a:lumMod val="65000"/>
                  </a:schemeClr>
                </a:solidFill>
              </a:rPr>
              <a:t>Divisão de Interação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6CA62C"/>
            </a:solidFill>
            <a:ln w="19050">
              <a:solidFill>
                <a:schemeClr val="bg1"/>
              </a:solidFill>
            </a:ln>
            <a:effectLst/>
          </c:spPr>
          <c:dPt>
            <c:idx val="0"/>
            <c:bubble3D val="0"/>
            <c:spPr>
              <a:solidFill>
                <a:srgbClr val="6CA62C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2F5-41AD-93A8-CADD16CCD848}"/>
              </c:ext>
            </c:extLst>
          </c:dPt>
          <c:dPt>
            <c:idx val="1"/>
            <c:bubble3D val="0"/>
            <c:spPr>
              <a:solidFill>
                <a:srgbClr val="6CA62C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2F5-41AD-93A8-CADD16CCD848}"/>
              </c:ext>
            </c:extLst>
          </c:dPt>
          <c:dPt>
            <c:idx val="2"/>
            <c:bubble3D val="0"/>
            <c:spPr>
              <a:solidFill>
                <a:srgbClr val="6CA62C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2F5-41AD-93A8-CADD16CCD848}"/>
              </c:ext>
            </c:extLst>
          </c:dPt>
          <c:dPt>
            <c:idx val="3"/>
            <c:bubble3D val="0"/>
            <c:spPr>
              <a:solidFill>
                <a:srgbClr val="6CA62C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2F5-41AD-93A8-CADD16CCD848}"/>
              </c:ext>
            </c:extLst>
          </c:dPt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accent6"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'Planilhas de Base'!$A$13:$A$16</c:f>
              <c:strCache>
                <c:ptCount val="4"/>
                <c:pt idx="0">
                  <c:v>Curtidas</c:v>
                </c:pt>
                <c:pt idx="1">
                  <c:v>Comentários</c:v>
                </c:pt>
                <c:pt idx="2">
                  <c:v>Salvos</c:v>
                </c:pt>
                <c:pt idx="3">
                  <c:v>Sem Interação</c:v>
                </c:pt>
              </c:strCache>
            </c:strRef>
          </c:cat>
          <c:val>
            <c:numRef>
              <c:f>'Planilhas de Base'!$C$13:$C$16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2F5-41AD-93A8-CADD16CCD848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6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png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3</xdr:row>
      <xdr:rowOff>114300</xdr:rowOff>
    </xdr:from>
    <xdr:to>
      <xdr:col>7</xdr:col>
      <xdr:colOff>438150</xdr:colOff>
      <xdr:row>18</xdr:row>
      <xdr:rowOff>0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428625</xdr:colOff>
      <xdr:row>3</xdr:row>
      <xdr:rowOff>114300</xdr:rowOff>
    </xdr:from>
    <xdr:to>
      <xdr:col>15</xdr:col>
      <xdr:colOff>409575</xdr:colOff>
      <xdr:row>18</xdr:row>
      <xdr:rowOff>0</xdr:rowOff>
    </xdr:to>
    <xdr:graphicFrame macro="">
      <xdr:nvGraphicFramePr>
        <xdr:cNvPr id="4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133350</xdr:colOff>
      <xdr:row>18</xdr:row>
      <xdr:rowOff>0</xdr:rowOff>
    </xdr:from>
    <xdr:to>
      <xdr:col>15</xdr:col>
      <xdr:colOff>419100</xdr:colOff>
      <xdr:row>32</xdr:row>
      <xdr:rowOff>76200</xdr:rowOff>
    </xdr:to>
    <xdr:graphicFrame macro="">
      <xdr:nvGraphicFramePr>
        <xdr:cNvPr id="5" name="Grá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400050</xdr:colOff>
      <xdr:row>3</xdr:row>
      <xdr:rowOff>114300</xdr:rowOff>
    </xdr:from>
    <xdr:to>
      <xdr:col>23</xdr:col>
      <xdr:colOff>95250</xdr:colOff>
      <xdr:row>18</xdr:row>
      <xdr:rowOff>0</xdr:rowOff>
    </xdr:to>
    <xdr:graphicFrame macro="">
      <xdr:nvGraphicFramePr>
        <xdr:cNvPr id="6" name="Gráfico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428625</xdr:colOff>
      <xdr:row>18</xdr:row>
      <xdr:rowOff>9525</xdr:rowOff>
    </xdr:from>
    <xdr:to>
      <xdr:col>23</xdr:col>
      <xdr:colOff>114300</xdr:colOff>
      <xdr:row>32</xdr:row>
      <xdr:rowOff>85725</xdr:rowOff>
    </xdr:to>
    <xdr:graphicFrame macro="">
      <xdr:nvGraphicFramePr>
        <xdr:cNvPr id="7" name="Gráfico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145677</xdr:colOff>
      <xdr:row>0</xdr:row>
      <xdr:rowOff>134471</xdr:rowOff>
    </xdr:from>
    <xdr:to>
      <xdr:col>0</xdr:col>
      <xdr:colOff>498102</xdr:colOff>
      <xdr:row>2</xdr:row>
      <xdr:rowOff>105896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677" y="134471"/>
          <a:ext cx="352425" cy="352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95250</xdr:rowOff>
    </xdr:from>
    <xdr:to>
      <xdr:col>1</xdr:col>
      <xdr:colOff>438150</xdr:colOff>
      <xdr:row>0</xdr:row>
      <xdr:rowOff>447675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0" y="95250"/>
          <a:ext cx="352425" cy="3524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ela1" displayName="Tabela1" ref="A3:J100" totalsRowShown="0" headerRowDxfId="13" dataDxfId="11" headerRowBorderDxfId="12" tableBorderDxfId="10">
  <autoFilter ref="A3:J100"/>
  <tableColumns count="10">
    <tableColumn id="1" name="DATA" dataDxfId="9"/>
    <tableColumn id="2" name="HORA" dataDxfId="8"/>
    <tableColumn id="3" name="ASSUNTO" dataDxfId="7"/>
    <tableColumn id="4" name="FORMATO" dataDxfId="6"/>
    <tableColumn id="5" name="TEMA" dataDxfId="5"/>
    <tableColumn id="6" name="CURTIDAS" dataDxfId="4"/>
    <tableColumn id="7" name="COMENTÁRIOS" dataDxfId="3"/>
    <tableColumn id="8" name="SALVOS" dataDxfId="2"/>
    <tableColumn id="9" name="ALCANCE" dataDxfId="1"/>
    <tableColumn id="10" name="ENGAJAMENTO" dataDxfId="0">
      <calculatedColumnFormula>IFERROR((((Tabela1[[#This Row],[CURTIDAS]]+Tabela1[[#This Row],[COMENTÁRIOS]]+Tabela1[[#This Row],[SALVOS]])/Tabela1[[#This Row],[ALCANCE]])),"")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activeCell="I11" sqref="I11"/>
    </sheetView>
  </sheetViews>
  <sheetFormatPr defaultRowHeight="15" x14ac:dyDescent="0.25"/>
  <cols>
    <col min="1" max="1" width="23.140625" bestFit="1" customWidth="1"/>
    <col min="2" max="2" width="13.42578125" customWidth="1"/>
    <col min="3" max="3" width="23.28515625" bestFit="1" customWidth="1"/>
    <col min="4" max="4" width="30" bestFit="1" customWidth="1"/>
    <col min="5" max="5" width="8.140625" bestFit="1" customWidth="1"/>
    <col min="6" max="6" width="24" bestFit="1" customWidth="1"/>
  </cols>
  <sheetData>
    <row r="1" spans="1:6" x14ac:dyDescent="0.25">
      <c r="A1" s="1" t="s">
        <v>19</v>
      </c>
      <c r="B1">
        <f>COUNTA(Tabela1[DATA])</f>
        <v>0</v>
      </c>
      <c r="D1" s="1" t="s">
        <v>21</v>
      </c>
      <c r="E1" s="2">
        <f>SUMIFS(Tabela1[ENGAJAMENTO],Tabela1[FORMATO],'Campos de Selação'!A1)</f>
        <v>0</v>
      </c>
    </row>
    <row r="2" spans="1:6" x14ac:dyDescent="0.25">
      <c r="A2" s="1" t="s">
        <v>23</v>
      </c>
      <c r="B2">
        <f>COUNTIF(Tabela1[FORMATO],'Campos de Selação'!A1)</f>
        <v>0</v>
      </c>
      <c r="D2" s="1" t="s">
        <v>22</v>
      </c>
      <c r="E2" s="2">
        <f>SUMIFS(Tabela1[ENGAJAMENTO],Tabela1[FORMATO],'Campos de Selação'!A2)</f>
        <v>0</v>
      </c>
    </row>
    <row r="3" spans="1:6" x14ac:dyDescent="0.25">
      <c r="A3" s="1" t="s">
        <v>24</v>
      </c>
      <c r="B3">
        <f>COUNTIF(Tabela1[FORMATO],'Campos de Selação'!A2)</f>
        <v>0</v>
      </c>
      <c r="D3" s="1" t="s">
        <v>10</v>
      </c>
      <c r="E3" s="2">
        <f>IFERROR((E1/B2),0)</f>
        <v>0</v>
      </c>
      <c r="F3" t="s">
        <v>26</v>
      </c>
    </row>
    <row r="4" spans="1:6" x14ac:dyDescent="0.25">
      <c r="A4" s="1" t="s">
        <v>25</v>
      </c>
      <c r="B4" s="2">
        <f>SUM(Tabela1[ENGAJAMENTO])</f>
        <v>0</v>
      </c>
      <c r="D4" s="1" t="s">
        <v>11</v>
      </c>
      <c r="E4" s="2">
        <f>IFERROR((E2/B3),0)</f>
        <v>0</v>
      </c>
      <c r="F4" t="s">
        <v>26</v>
      </c>
    </row>
    <row r="7" spans="1:6" x14ac:dyDescent="0.25">
      <c r="A7" s="1" t="s">
        <v>12</v>
      </c>
      <c r="B7" s="2">
        <f>SUMIFS(Tabela1[ENGAJAMENTO],Tabela1[TEMA],'Campos de Selação'!B1)</f>
        <v>0</v>
      </c>
      <c r="C7" t="s">
        <v>27</v>
      </c>
      <c r="D7" s="2" t="e">
        <f>(B7 / $B$4)</f>
        <v>#DIV/0!</v>
      </c>
      <c r="E7" t="s">
        <v>28</v>
      </c>
    </row>
    <row r="8" spans="1:6" x14ac:dyDescent="0.25">
      <c r="A8" s="1" t="s">
        <v>16</v>
      </c>
      <c r="B8" s="2">
        <f>SUMIFS(Tabela1[ENGAJAMENTO],Tabela1[TEMA],'Campos de Selação'!B2)</f>
        <v>0</v>
      </c>
      <c r="C8" t="s">
        <v>27</v>
      </c>
      <c r="D8" s="2" t="e">
        <f>(B8 / $B$4)</f>
        <v>#DIV/0!</v>
      </c>
      <c r="E8" t="s">
        <v>28</v>
      </c>
    </row>
    <row r="9" spans="1:6" x14ac:dyDescent="0.25">
      <c r="A9" s="1" t="s">
        <v>13</v>
      </c>
      <c r="B9" s="2">
        <f>SUMIFS(Tabela1[ENGAJAMENTO],Tabela1[TEMA],'Campos de Selação'!B3)</f>
        <v>0</v>
      </c>
      <c r="C9" t="s">
        <v>27</v>
      </c>
      <c r="D9" s="2" t="e">
        <f>(B9 / $B$4)</f>
        <v>#DIV/0!</v>
      </c>
      <c r="E9" t="s">
        <v>28</v>
      </c>
    </row>
    <row r="10" spans="1:6" x14ac:dyDescent="0.25">
      <c r="A10" s="1" t="s">
        <v>14</v>
      </c>
      <c r="B10" s="2">
        <f>SUMIFS(Tabela1[ENGAJAMENTO],Tabela1[TEMA],'Campos de Selação'!B4)</f>
        <v>0</v>
      </c>
      <c r="C10" t="s">
        <v>27</v>
      </c>
      <c r="D10" s="2" t="e">
        <f>(B10 / $B$4)</f>
        <v>#DIV/0!</v>
      </c>
      <c r="E10" t="s">
        <v>28</v>
      </c>
    </row>
    <row r="11" spans="1:6" x14ac:dyDescent="0.25">
      <c r="A11" s="1" t="s">
        <v>15</v>
      </c>
      <c r="B11" s="2">
        <f>SUMIFS(Tabela1[ENGAJAMENTO],Tabela1[TEMA],'Campos de Selação'!B5)</f>
        <v>0</v>
      </c>
      <c r="C11" t="s">
        <v>27</v>
      </c>
      <c r="D11" s="2" t="e">
        <f>(B11 / $B$4)</f>
        <v>#DIV/0!</v>
      </c>
      <c r="E11" t="s">
        <v>28</v>
      </c>
    </row>
    <row r="12" spans="1:6" x14ac:dyDescent="0.25">
      <c r="A12" s="1"/>
    </row>
    <row r="13" spans="1:6" x14ac:dyDescent="0.25">
      <c r="A13" s="1" t="s">
        <v>30</v>
      </c>
      <c r="B13">
        <f>SUM(Tabela1[CURTIDAS])</f>
        <v>0</v>
      </c>
      <c r="C13" s="2" t="e">
        <f>(B13/$B$17)</f>
        <v>#DIV/0!</v>
      </c>
      <c r="D13" t="s">
        <v>34</v>
      </c>
    </row>
    <row r="14" spans="1:6" x14ac:dyDescent="0.25">
      <c r="A14" s="1" t="s">
        <v>31</v>
      </c>
      <c r="B14">
        <f>SUM(Tabela1[COMENTÁRIOS])</f>
        <v>0</v>
      </c>
      <c r="C14" s="2" t="e">
        <f>(B14/$B$17)</f>
        <v>#DIV/0!</v>
      </c>
      <c r="D14" t="s">
        <v>34</v>
      </c>
    </row>
    <row r="15" spans="1:6" x14ac:dyDescent="0.25">
      <c r="A15" s="1" t="s">
        <v>32</v>
      </c>
      <c r="B15">
        <f>SUM(Tabela1[SALVOS])</f>
        <v>0</v>
      </c>
      <c r="C15" s="2" t="e">
        <f>(B15/$B$17)</f>
        <v>#DIV/0!</v>
      </c>
      <c r="D15" t="s">
        <v>34</v>
      </c>
    </row>
    <row r="16" spans="1:6" x14ac:dyDescent="0.25">
      <c r="A16" s="1" t="s">
        <v>29</v>
      </c>
      <c r="B16">
        <f>(B17-(B13+B14+B15))</f>
        <v>0</v>
      </c>
      <c r="C16" s="2" t="e">
        <f>(1 - (C13+C14+C15))</f>
        <v>#DIV/0!</v>
      </c>
    </row>
    <row r="17" spans="1:4" x14ac:dyDescent="0.25">
      <c r="A17" s="1" t="s">
        <v>33</v>
      </c>
      <c r="B17">
        <f>SUM(Tabela1[ALCANCE])</f>
        <v>0</v>
      </c>
      <c r="C17" t="e">
        <f>(B17/$B$17)</f>
        <v>#DIV/0!</v>
      </c>
      <c r="D17" t="s">
        <v>34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B1" sqref="B1:B5"/>
    </sheetView>
  </sheetViews>
  <sheetFormatPr defaultRowHeight="15" x14ac:dyDescent="0.25"/>
  <cols>
    <col min="2" max="2" width="16" bestFit="1" customWidth="1"/>
  </cols>
  <sheetData>
    <row r="1" spans="1:2" x14ac:dyDescent="0.25">
      <c r="A1" t="s">
        <v>10</v>
      </c>
      <c r="B1" t="s">
        <v>12</v>
      </c>
    </row>
    <row r="2" spans="1:2" x14ac:dyDescent="0.25">
      <c r="A2" t="s">
        <v>20</v>
      </c>
      <c r="B2" t="s">
        <v>16</v>
      </c>
    </row>
    <row r="3" spans="1:2" x14ac:dyDescent="0.25">
      <c r="B3" t="s">
        <v>13</v>
      </c>
    </row>
    <row r="4" spans="1:2" x14ac:dyDescent="0.25">
      <c r="B4" t="s">
        <v>14</v>
      </c>
    </row>
    <row r="5" spans="1:2" x14ac:dyDescent="0.25">
      <c r="B5" t="s">
        <v>15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45"/>
  <sheetViews>
    <sheetView zoomScale="85" zoomScaleNormal="85" workbookViewId="0">
      <selection sqref="A1:BC145"/>
    </sheetView>
  </sheetViews>
  <sheetFormatPr defaultRowHeight="15" x14ac:dyDescent="0.25"/>
  <sheetData>
    <row r="1" spans="1:55" x14ac:dyDescent="0.25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</row>
    <row r="2" spans="1:55" x14ac:dyDescent="0.2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</row>
    <row r="3" spans="1:55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</row>
    <row r="4" spans="1:55" x14ac:dyDescent="0.25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</row>
    <row r="5" spans="1:55" x14ac:dyDescent="0.2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</row>
    <row r="6" spans="1:55" x14ac:dyDescent="0.25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</row>
    <row r="7" spans="1:55" x14ac:dyDescent="0.25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</row>
    <row r="8" spans="1:55" x14ac:dyDescent="0.25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</row>
    <row r="9" spans="1:55" x14ac:dyDescent="0.25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</row>
    <row r="10" spans="1:55" x14ac:dyDescent="0.25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</row>
    <row r="11" spans="1:55" x14ac:dyDescent="0.25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</row>
    <row r="12" spans="1:55" x14ac:dyDescent="0.25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</row>
    <row r="13" spans="1:55" x14ac:dyDescent="0.25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</row>
    <row r="14" spans="1:55" x14ac:dyDescent="0.25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</row>
    <row r="15" spans="1:55" x14ac:dyDescent="0.2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</row>
    <row r="16" spans="1:55" x14ac:dyDescent="0.25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</row>
    <row r="17" spans="1:55" x14ac:dyDescent="0.25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</row>
    <row r="18" spans="1:55" x14ac:dyDescent="0.25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</row>
    <row r="19" spans="1:55" x14ac:dyDescent="0.25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</row>
    <row r="20" spans="1:55" x14ac:dyDescent="0.25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</row>
    <row r="21" spans="1:55" x14ac:dyDescent="0.2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</row>
    <row r="22" spans="1:55" x14ac:dyDescent="0.25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</row>
    <row r="23" spans="1:55" x14ac:dyDescent="0.25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</row>
    <row r="24" spans="1:55" x14ac:dyDescent="0.25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</row>
    <row r="25" spans="1:55" x14ac:dyDescent="0.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</row>
    <row r="26" spans="1:55" x14ac:dyDescent="0.25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</row>
    <row r="27" spans="1:55" x14ac:dyDescent="0.25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</row>
    <row r="28" spans="1:55" x14ac:dyDescent="0.25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</row>
    <row r="29" spans="1:55" x14ac:dyDescent="0.25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</row>
    <row r="30" spans="1:55" x14ac:dyDescent="0.25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</row>
    <row r="31" spans="1:55" x14ac:dyDescent="0.25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</row>
    <row r="32" spans="1:55" x14ac:dyDescent="0.25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</row>
    <row r="33" spans="1:55" x14ac:dyDescent="0.25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</row>
    <row r="34" spans="1:55" x14ac:dyDescent="0.25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</row>
    <row r="35" spans="1:55" x14ac:dyDescent="0.2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</row>
    <row r="36" spans="1:55" x14ac:dyDescent="0.25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</row>
    <row r="37" spans="1:55" x14ac:dyDescent="0.2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</row>
    <row r="38" spans="1:55" x14ac:dyDescent="0.2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</row>
    <row r="39" spans="1:55" x14ac:dyDescent="0.2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</row>
    <row r="40" spans="1:55" x14ac:dyDescent="0.25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</row>
    <row r="41" spans="1:55" x14ac:dyDescent="0.25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</row>
    <row r="42" spans="1:55" x14ac:dyDescent="0.25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</row>
    <row r="43" spans="1:55" x14ac:dyDescent="0.2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</row>
    <row r="44" spans="1:55" x14ac:dyDescent="0.2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5"/>
      <c r="BA44" s="25"/>
      <c r="BB44" s="25"/>
      <c r="BC44" s="25"/>
    </row>
    <row r="45" spans="1:55" x14ac:dyDescent="0.2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</row>
    <row r="46" spans="1:55" x14ac:dyDescent="0.2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25"/>
      <c r="BC46" s="25"/>
    </row>
    <row r="47" spans="1:55" x14ac:dyDescent="0.2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</row>
    <row r="48" spans="1:55" x14ac:dyDescent="0.2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</row>
    <row r="49" spans="1:55" x14ac:dyDescent="0.2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</row>
    <row r="50" spans="1:55" x14ac:dyDescent="0.2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</row>
    <row r="51" spans="1:55" x14ac:dyDescent="0.2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</row>
    <row r="52" spans="1:55" x14ac:dyDescent="0.2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</row>
    <row r="53" spans="1:55" x14ac:dyDescent="0.2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25"/>
    </row>
    <row r="54" spans="1:55" x14ac:dyDescent="0.2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  <c r="BA54" s="25"/>
      <c r="BB54" s="25"/>
      <c r="BC54" s="25"/>
    </row>
    <row r="55" spans="1:55" x14ac:dyDescent="0.2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</row>
    <row r="56" spans="1:55" x14ac:dyDescent="0.25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</row>
    <row r="57" spans="1:55" x14ac:dyDescent="0.2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</row>
    <row r="58" spans="1:55" x14ac:dyDescent="0.2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5"/>
      <c r="AZ58" s="25"/>
      <c r="BA58" s="25"/>
      <c r="BB58" s="25"/>
      <c r="BC58" s="25"/>
    </row>
    <row r="59" spans="1:55" x14ac:dyDescent="0.2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5"/>
      <c r="BC59" s="25"/>
    </row>
    <row r="60" spans="1:55" x14ac:dyDescent="0.25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  <c r="AY60" s="25"/>
      <c r="AZ60" s="25"/>
      <c r="BA60" s="25"/>
      <c r="BB60" s="25"/>
      <c r="BC60" s="25"/>
    </row>
    <row r="61" spans="1:55" x14ac:dyDescent="0.25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</row>
    <row r="62" spans="1:55" x14ac:dyDescent="0.2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</row>
    <row r="63" spans="1:55" x14ac:dyDescent="0.25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</row>
    <row r="64" spans="1:55" x14ac:dyDescent="0.25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  <c r="AY64" s="25"/>
      <c r="AZ64" s="25"/>
      <c r="BA64" s="25"/>
      <c r="BB64" s="25"/>
      <c r="BC64" s="25"/>
    </row>
    <row r="65" spans="1:55" x14ac:dyDescent="0.2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5"/>
      <c r="BC65" s="25"/>
    </row>
    <row r="66" spans="1:55" x14ac:dyDescent="0.25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  <c r="AY66" s="25"/>
      <c r="AZ66" s="25"/>
      <c r="BA66" s="25"/>
      <c r="BB66" s="25"/>
      <c r="BC66" s="25"/>
    </row>
    <row r="67" spans="1:55" x14ac:dyDescent="0.25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</row>
    <row r="68" spans="1:55" x14ac:dyDescent="0.25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</row>
    <row r="69" spans="1:55" x14ac:dyDescent="0.25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25"/>
    </row>
    <row r="70" spans="1:55" x14ac:dyDescent="0.25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</row>
    <row r="71" spans="1:55" x14ac:dyDescent="0.25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5"/>
      <c r="AZ71" s="25"/>
      <c r="BA71" s="25"/>
      <c r="BB71" s="25"/>
      <c r="BC71" s="25"/>
    </row>
    <row r="72" spans="1:55" x14ac:dyDescent="0.25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</row>
    <row r="73" spans="1:55" x14ac:dyDescent="0.25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  <c r="AY73" s="25"/>
      <c r="AZ73" s="25"/>
      <c r="BA73" s="25"/>
      <c r="BB73" s="25"/>
      <c r="BC73" s="25"/>
    </row>
    <row r="74" spans="1:55" x14ac:dyDescent="0.25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5"/>
      <c r="AZ74" s="25"/>
      <c r="BA74" s="25"/>
      <c r="BB74" s="25"/>
      <c r="BC74" s="25"/>
    </row>
    <row r="75" spans="1:55" x14ac:dyDescent="0.2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  <c r="AY75" s="25"/>
      <c r="AZ75" s="25"/>
      <c r="BA75" s="25"/>
      <c r="BB75" s="25"/>
      <c r="BC75" s="25"/>
    </row>
    <row r="76" spans="1:55" x14ac:dyDescent="0.25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  <c r="AY76" s="25"/>
      <c r="AZ76" s="25"/>
      <c r="BA76" s="25"/>
      <c r="BB76" s="25"/>
      <c r="BC76" s="25"/>
    </row>
    <row r="77" spans="1:55" x14ac:dyDescent="0.25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5"/>
      <c r="BC77" s="25"/>
    </row>
    <row r="78" spans="1:55" x14ac:dyDescent="0.25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5"/>
      <c r="BC78" s="25"/>
    </row>
    <row r="79" spans="1:55" x14ac:dyDescent="0.2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25"/>
      <c r="BC79" s="25"/>
    </row>
    <row r="80" spans="1:55" x14ac:dyDescent="0.2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  <c r="AY80" s="25"/>
      <c r="AZ80" s="25"/>
      <c r="BA80" s="25"/>
      <c r="BB80" s="25"/>
      <c r="BC80" s="25"/>
    </row>
    <row r="81" spans="1:55" x14ac:dyDescent="0.2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25"/>
      <c r="BC81" s="25"/>
    </row>
    <row r="82" spans="1:55" x14ac:dyDescent="0.25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</row>
    <row r="83" spans="1:55" x14ac:dyDescent="0.25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25"/>
      <c r="BC83" s="25"/>
    </row>
    <row r="84" spans="1:55" x14ac:dyDescent="0.25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</row>
    <row r="85" spans="1:55" x14ac:dyDescent="0.2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  <c r="AY85" s="25"/>
      <c r="AZ85" s="25"/>
      <c r="BA85" s="25"/>
      <c r="BB85" s="25"/>
      <c r="BC85" s="25"/>
    </row>
    <row r="86" spans="1:55" x14ac:dyDescent="0.25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25"/>
      <c r="BC86" s="25"/>
    </row>
    <row r="87" spans="1:55" x14ac:dyDescent="0.25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25"/>
      <c r="BA87" s="25"/>
      <c r="BB87" s="25"/>
      <c r="BC87" s="25"/>
    </row>
    <row r="88" spans="1:55" x14ac:dyDescent="0.25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  <c r="AY88" s="25"/>
      <c r="AZ88" s="25"/>
      <c r="BA88" s="25"/>
      <c r="BB88" s="25"/>
      <c r="BC88" s="25"/>
    </row>
    <row r="89" spans="1:55" x14ac:dyDescent="0.25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  <c r="AY89" s="25"/>
      <c r="AZ89" s="25"/>
      <c r="BA89" s="25"/>
      <c r="BB89" s="25"/>
      <c r="BC89" s="25"/>
    </row>
    <row r="90" spans="1:55" x14ac:dyDescent="0.25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  <c r="BA90" s="25"/>
      <c r="BB90" s="25"/>
      <c r="BC90" s="25"/>
    </row>
    <row r="91" spans="1:55" x14ac:dyDescent="0.25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  <c r="BA91" s="25"/>
      <c r="BB91" s="25"/>
      <c r="BC91" s="25"/>
    </row>
    <row r="92" spans="1:55" x14ac:dyDescent="0.25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</row>
    <row r="93" spans="1:55" x14ac:dyDescent="0.25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  <c r="BA93" s="25"/>
      <c r="BB93" s="25"/>
      <c r="BC93" s="25"/>
    </row>
    <row r="94" spans="1:55" x14ac:dyDescent="0.25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  <c r="BB94" s="25"/>
      <c r="BC94" s="25"/>
    </row>
    <row r="95" spans="1:55" x14ac:dyDescent="0.2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5"/>
      <c r="AY95" s="25"/>
      <c r="AZ95" s="25"/>
      <c r="BA95" s="25"/>
      <c r="BB95" s="25"/>
      <c r="BC95" s="25"/>
    </row>
    <row r="96" spans="1:55" x14ac:dyDescent="0.25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  <c r="AY96" s="25"/>
      <c r="AZ96" s="25"/>
      <c r="BA96" s="25"/>
      <c r="BB96" s="25"/>
      <c r="BC96" s="25"/>
    </row>
    <row r="97" spans="1:55" x14ac:dyDescent="0.25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25"/>
    </row>
    <row r="98" spans="1:55" x14ac:dyDescent="0.25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5"/>
      <c r="AY98" s="25"/>
      <c r="AZ98" s="25"/>
      <c r="BA98" s="25"/>
      <c r="BB98" s="25"/>
      <c r="BC98" s="25"/>
    </row>
    <row r="99" spans="1:55" x14ac:dyDescent="0.25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5"/>
      <c r="AY99" s="25"/>
      <c r="AZ99" s="25"/>
      <c r="BA99" s="25"/>
      <c r="BB99" s="25"/>
      <c r="BC99" s="25"/>
    </row>
    <row r="100" spans="1:55" x14ac:dyDescent="0.25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  <c r="AY100" s="25"/>
      <c r="AZ100" s="25"/>
      <c r="BA100" s="25"/>
      <c r="BB100" s="25"/>
      <c r="BC100" s="25"/>
    </row>
    <row r="101" spans="1:55" x14ac:dyDescent="0.25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</row>
    <row r="102" spans="1:55" x14ac:dyDescent="0.25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</row>
    <row r="103" spans="1:55" x14ac:dyDescent="0.25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  <c r="AY103" s="25"/>
      <c r="AZ103" s="25"/>
      <c r="BA103" s="25"/>
      <c r="BB103" s="25"/>
      <c r="BC103" s="25"/>
    </row>
    <row r="104" spans="1:55" x14ac:dyDescent="0.25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  <c r="BA104" s="25"/>
      <c r="BB104" s="25"/>
      <c r="BC104" s="25"/>
    </row>
    <row r="105" spans="1:55" x14ac:dyDescent="0.2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25"/>
      <c r="AY105" s="25"/>
      <c r="AZ105" s="25"/>
      <c r="BA105" s="25"/>
      <c r="BB105" s="25"/>
      <c r="BC105" s="25"/>
    </row>
    <row r="106" spans="1:55" x14ac:dyDescent="0.25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/>
      <c r="AY106" s="25"/>
      <c r="AZ106" s="25"/>
      <c r="BA106" s="25"/>
      <c r="BB106" s="25"/>
      <c r="BC106" s="25"/>
    </row>
    <row r="107" spans="1:55" x14ac:dyDescent="0.25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</row>
    <row r="108" spans="1:55" x14ac:dyDescent="0.25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</row>
    <row r="109" spans="1:55" x14ac:dyDescent="0.25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25"/>
      <c r="AY109" s="25"/>
      <c r="AZ109" s="25"/>
      <c r="BA109" s="25"/>
      <c r="BB109" s="25"/>
      <c r="BC109" s="25"/>
    </row>
    <row r="110" spans="1:55" x14ac:dyDescent="0.25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  <c r="AX110" s="25"/>
      <c r="AY110" s="25"/>
      <c r="AZ110" s="25"/>
      <c r="BA110" s="25"/>
      <c r="BB110" s="25"/>
      <c r="BC110" s="25"/>
    </row>
    <row r="111" spans="1:55" x14ac:dyDescent="0.25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  <c r="AW111" s="25"/>
      <c r="AX111" s="25"/>
      <c r="AY111" s="25"/>
      <c r="AZ111" s="25"/>
      <c r="BA111" s="25"/>
      <c r="BB111" s="25"/>
      <c r="BC111" s="25"/>
    </row>
    <row r="112" spans="1:55" x14ac:dyDescent="0.25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  <c r="AX112" s="25"/>
      <c r="AY112" s="25"/>
      <c r="AZ112" s="25"/>
      <c r="BA112" s="25"/>
      <c r="BB112" s="25"/>
      <c r="BC112" s="25"/>
    </row>
    <row r="113" spans="1:55" x14ac:dyDescent="0.25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  <c r="AW113" s="25"/>
      <c r="AX113" s="25"/>
      <c r="AY113" s="25"/>
      <c r="AZ113" s="25"/>
      <c r="BA113" s="25"/>
      <c r="BB113" s="25"/>
      <c r="BC113" s="25"/>
    </row>
    <row r="114" spans="1:55" x14ac:dyDescent="0.25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  <c r="AW114" s="25"/>
      <c r="AX114" s="25"/>
      <c r="AY114" s="25"/>
      <c r="AZ114" s="25"/>
      <c r="BA114" s="25"/>
      <c r="BB114" s="25"/>
      <c r="BC114" s="25"/>
    </row>
    <row r="115" spans="1:55" x14ac:dyDescent="0.2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  <c r="AX115" s="25"/>
      <c r="AY115" s="25"/>
      <c r="AZ115" s="25"/>
      <c r="BA115" s="25"/>
      <c r="BB115" s="25"/>
      <c r="BC115" s="25"/>
    </row>
    <row r="116" spans="1:55" x14ac:dyDescent="0.25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  <c r="AX116" s="25"/>
      <c r="AY116" s="25"/>
      <c r="AZ116" s="25"/>
      <c r="BA116" s="25"/>
      <c r="BB116" s="25"/>
      <c r="BC116" s="25"/>
    </row>
    <row r="117" spans="1:55" x14ac:dyDescent="0.25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  <c r="AW117" s="25"/>
      <c r="AX117" s="25"/>
      <c r="AY117" s="25"/>
      <c r="AZ117" s="25"/>
      <c r="BA117" s="25"/>
      <c r="BB117" s="25"/>
      <c r="BC117" s="25"/>
    </row>
    <row r="118" spans="1:55" x14ac:dyDescent="0.25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  <c r="AW118" s="25"/>
      <c r="AX118" s="25"/>
      <c r="AY118" s="25"/>
      <c r="AZ118" s="25"/>
      <c r="BA118" s="25"/>
      <c r="BB118" s="25"/>
      <c r="BC118" s="25"/>
    </row>
    <row r="119" spans="1:55" x14ac:dyDescent="0.25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  <c r="AX119" s="25"/>
      <c r="AY119" s="25"/>
      <c r="AZ119" s="25"/>
      <c r="BA119" s="25"/>
      <c r="BB119" s="25"/>
      <c r="BC119" s="25"/>
    </row>
    <row r="120" spans="1:55" x14ac:dyDescent="0.25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  <c r="AW120" s="25"/>
      <c r="AX120" s="25"/>
      <c r="AY120" s="25"/>
      <c r="AZ120" s="25"/>
      <c r="BA120" s="25"/>
      <c r="BB120" s="25"/>
      <c r="BC120" s="25"/>
    </row>
    <row r="121" spans="1:55" x14ac:dyDescent="0.25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  <c r="AX121" s="25"/>
      <c r="AY121" s="25"/>
      <c r="AZ121" s="25"/>
      <c r="BA121" s="25"/>
      <c r="BB121" s="25"/>
      <c r="BC121" s="25"/>
    </row>
    <row r="122" spans="1:55" x14ac:dyDescent="0.25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  <c r="AX122" s="25"/>
      <c r="AY122" s="25"/>
      <c r="AZ122" s="25"/>
      <c r="BA122" s="25"/>
      <c r="BB122" s="25"/>
      <c r="BC122" s="25"/>
    </row>
    <row r="123" spans="1:55" x14ac:dyDescent="0.25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  <c r="AX123" s="25"/>
      <c r="AY123" s="25"/>
      <c r="AZ123" s="25"/>
      <c r="BA123" s="25"/>
      <c r="BB123" s="25"/>
      <c r="BC123" s="25"/>
    </row>
    <row r="124" spans="1:55" x14ac:dyDescent="0.25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  <c r="AX124" s="25"/>
      <c r="AY124" s="25"/>
      <c r="AZ124" s="25"/>
      <c r="BA124" s="25"/>
      <c r="BB124" s="25"/>
      <c r="BC124" s="25"/>
    </row>
    <row r="125" spans="1:55" x14ac:dyDescent="0.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  <c r="AX125" s="25"/>
      <c r="AY125" s="25"/>
      <c r="AZ125" s="25"/>
      <c r="BA125" s="25"/>
      <c r="BB125" s="25"/>
      <c r="BC125" s="25"/>
    </row>
    <row r="126" spans="1:55" x14ac:dyDescent="0.25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  <c r="AX126" s="25"/>
      <c r="AY126" s="25"/>
      <c r="AZ126" s="25"/>
      <c r="BA126" s="25"/>
      <c r="BB126" s="25"/>
      <c r="BC126" s="25"/>
    </row>
    <row r="127" spans="1:55" x14ac:dyDescent="0.25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  <c r="AW127" s="25"/>
      <c r="AX127" s="25"/>
      <c r="AY127" s="25"/>
      <c r="AZ127" s="25"/>
      <c r="BA127" s="25"/>
      <c r="BB127" s="25"/>
      <c r="BC127" s="25"/>
    </row>
    <row r="128" spans="1:55" x14ac:dyDescent="0.25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  <c r="AW128" s="25"/>
      <c r="AX128" s="25"/>
      <c r="AY128" s="25"/>
      <c r="AZ128" s="25"/>
      <c r="BA128" s="25"/>
      <c r="BB128" s="25"/>
      <c r="BC128" s="25"/>
    </row>
    <row r="129" spans="1:55" x14ac:dyDescent="0.25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  <c r="AW129" s="25"/>
      <c r="AX129" s="25"/>
      <c r="AY129" s="25"/>
      <c r="AZ129" s="25"/>
      <c r="BA129" s="25"/>
      <c r="BB129" s="25"/>
      <c r="BC129" s="25"/>
    </row>
    <row r="130" spans="1:55" x14ac:dyDescent="0.25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  <c r="AW130" s="25"/>
      <c r="AX130" s="25"/>
      <c r="AY130" s="25"/>
      <c r="AZ130" s="25"/>
      <c r="BA130" s="25"/>
      <c r="BB130" s="25"/>
      <c r="BC130" s="25"/>
    </row>
    <row r="131" spans="1:55" x14ac:dyDescent="0.25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  <c r="AV131" s="25"/>
      <c r="AW131" s="25"/>
      <c r="AX131" s="25"/>
      <c r="AY131" s="25"/>
      <c r="AZ131" s="25"/>
      <c r="BA131" s="25"/>
      <c r="BB131" s="25"/>
      <c r="BC131" s="25"/>
    </row>
    <row r="132" spans="1:55" x14ac:dyDescent="0.25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  <c r="AT132" s="25"/>
      <c r="AU132" s="25"/>
      <c r="AV132" s="25"/>
      <c r="AW132" s="25"/>
      <c r="AX132" s="25"/>
      <c r="AY132" s="25"/>
      <c r="AZ132" s="25"/>
      <c r="BA132" s="25"/>
      <c r="BB132" s="25"/>
      <c r="BC132" s="25"/>
    </row>
    <row r="133" spans="1:55" x14ac:dyDescent="0.25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  <c r="AW133" s="25"/>
      <c r="AX133" s="25"/>
      <c r="AY133" s="25"/>
      <c r="AZ133" s="25"/>
      <c r="BA133" s="25"/>
      <c r="BB133" s="25"/>
      <c r="BC133" s="25"/>
    </row>
    <row r="134" spans="1:55" x14ac:dyDescent="0.25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  <c r="AY134" s="25"/>
      <c r="AZ134" s="25"/>
      <c r="BA134" s="25"/>
      <c r="BB134" s="25"/>
      <c r="BC134" s="25"/>
    </row>
    <row r="135" spans="1:55" x14ac:dyDescent="0.2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  <c r="AT135" s="25"/>
      <c r="AU135" s="25"/>
      <c r="AV135" s="25"/>
      <c r="AW135" s="25"/>
      <c r="AX135" s="25"/>
      <c r="AY135" s="25"/>
      <c r="AZ135" s="25"/>
      <c r="BA135" s="25"/>
      <c r="BB135" s="25"/>
      <c r="BC135" s="25"/>
    </row>
    <row r="136" spans="1:55" x14ac:dyDescent="0.25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  <c r="AT136" s="25"/>
      <c r="AU136" s="25"/>
      <c r="AV136" s="25"/>
      <c r="AW136" s="25"/>
      <c r="AX136" s="25"/>
      <c r="AY136" s="25"/>
      <c r="AZ136" s="25"/>
      <c r="BA136" s="25"/>
      <c r="BB136" s="25"/>
      <c r="BC136" s="25"/>
    </row>
    <row r="137" spans="1:55" x14ac:dyDescent="0.25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  <c r="AU137" s="25"/>
      <c r="AV137" s="25"/>
      <c r="AW137" s="25"/>
      <c r="AX137" s="25"/>
      <c r="AY137" s="25"/>
      <c r="AZ137" s="25"/>
      <c r="BA137" s="25"/>
      <c r="BB137" s="25"/>
      <c r="BC137" s="25"/>
    </row>
    <row r="138" spans="1:55" x14ac:dyDescent="0.25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  <c r="AT138" s="25"/>
      <c r="AU138" s="25"/>
      <c r="AV138" s="25"/>
      <c r="AW138" s="25"/>
      <c r="AX138" s="25"/>
      <c r="AY138" s="25"/>
      <c r="AZ138" s="25"/>
      <c r="BA138" s="25"/>
      <c r="BB138" s="25"/>
      <c r="BC138" s="25"/>
    </row>
    <row r="139" spans="1:55" x14ac:dyDescent="0.25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  <c r="AV139" s="25"/>
      <c r="AW139" s="25"/>
      <c r="AX139" s="25"/>
      <c r="AY139" s="25"/>
      <c r="AZ139" s="25"/>
      <c r="BA139" s="25"/>
      <c r="BB139" s="25"/>
      <c r="BC139" s="25"/>
    </row>
    <row r="140" spans="1:55" x14ac:dyDescent="0.25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U140" s="25"/>
      <c r="AV140" s="25"/>
      <c r="AW140" s="25"/>
      <c r="AX140" s="25"/>
      <c r="AY140" s="25"/>
      <c r="AZ140" s="25"/>
      <c r="BA140" s="25"/>
      <c r="BB140" s="25"/>
      <c r="BC140" s="25"/>
    </row>
    <row r="141" spans="1:55" x14ac:dyDescent="0.25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  <c r="AT141" s="25"/>
      <c r="AU141" s="25"/>
      <c r="AV141" s="25"/>
      <c r="AW141" s="25"/>
      <c r="AX141" s="25"/>
      <c r="AY141" s="25"/>
      <c r="AZ141" s="25"/>
      <c r="BA141" s="25"/>
      <c r="BB141" s="25"/>
      <c r="BC141" s="25"/>
    </row>
    <row r="142" spans="1:55" x14ac:dyDescent="0.25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  <c r="AV142" s="25"/>
      <c r="AW142" s="25"/>
      <c r="AX142" s="25"/>
      <c r="AY142" s="25"/>
      <c r="AZ142" s="25"/>
      <c r="BA142" s="25"/>
      <c r="BB142" s="25"/>
      <c r="BC142" s="25"/>
    </row>
    <row r="143" spans="1:55" x14ac:dyDescent="0.25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  <c r="AV143" s="25"/>
      <c r="AW143" s="25"/>
      <c r="AX143" s="25"/>
      <c r="AY143" s="25"/>
      <c r="AZ143" s="25"/>
      <c r="BA143" s="25"/>
      <c r="BB143" s="25"/>
      <c r="BC143" s="25"/>
    </row>
    <row r="144" spans="1:55" x14ac:dyDescent="0.25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/>
      <c r="AU144" s="25"/>
      <c r="AV144" s="25"/>
      <c r="AW144" s="25"/>
      <c r="AX144" s="25"/>
      <c r="AY144" s="25"/>
      <c r="AZ144" s="25"/>
      <c r="BA144" s="25"/>
      <c r="BB144" s="25"/>
      <c r="BC144" s="25"/>
    </row>
    <row r="145" spans="1:55" x14ac:dyDescent="0.2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25"/>
      <c r="AW145" s="25"/>
      <c r="AX145" s="25"/>
      <c r="AY145" s="25"/>
      <c r="AZ145" s="25"/>
      <c r="BA145" s="25"/>
      <c r="BB145" s="25"/>
      <c r="BC145" s="25"/>
    </row>
  </sheetData>
  <sheetProtection algorithmName="SHA-512" hashValue="+MuAy8+DpvcczF0wx9pVw0g7XO4BCA6wb+/N8lujj+z5Ckyo6yyx6zgTK7L0mrXGaF4aP0KLXgElikuSDiE9gg==" saltValue="XeWWtJCpyo93aZJA+vvHOw==" spinCount="100000" sheet="1" objects="1" scenarios="1" selectLockedCells="1" selectUnlockedCells="1"/>
  <mergeCells count="1">
    <mergeCell ref="A1:BC145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0"/>
  <sheetViews>
    <sheetView tabSelected="1" workbookViewId="0">
      <selection activeCell="A4" sqref="A4"/>
    </sheetView>
  </sheetViews>
  <sheetFormatPr defaultRowHeight="15" x14ac:dyDescent="0.25"/>
  <cols>
    <col min="1" max="1" width="15.7109375" style="17" customWidth="1"/>
    <col min="2" max="2" width="16.85546875" style="18" customWidth="1"/>
    <col min="3" max="3" width="40.140625" style="16" customWidth="1"/>
    <col min="4" max="4" width="16.85546875" style="16" bestFit="1" customWidth="1"/>
    <col min="5" max="5" width="22.140625" style="16" customWidth="1"/>
    <col min="6" max="6" width="16" style="16" customWidth="1"/>
    <col min="7" max="7" width="18.42578125" style="16" customWidth="1"/>
    <col min="8" max="8" width="16" style="16" customWidth="1"/>
    <col min="9" max="9" width="12.5703125" style="16" customWidth="1"/>
    <col min="10" max="10" width="14.5703125" style="19" customWidth="1"/>
    <col min="11" max="16384" width="9.140625" style="16"/>
  </cols>
  <sheetData>
    <row r="1" spans="1:10" ht="43.5" customHeight="1" x14ac:dyDescent="0.25">
      <c r="A1" s="28" t="s">
        <v>9</v>
      </c>
      <c r="B1" s="28"/>
      <c r="C1" s="28"/>
      <c r="D1" s="28"/>
      <c r="E1" s="28"/>
      <c r="F1" s="26" t="s">
        <v>8</v>
      </c>
      <c r="G1" s="26"/>
      <c r="H1" s="26"/>
      <c r="I1" s="26"/>
      <c r="J1" s="26"/>
    </row>
    <row r="2" spans="1:10" ht="27.75" customHeight="1" x14ac:dyDescent="0.25">
      <c r="A2" s="27" t="s">
        <v>35</v>
      </c>
      <c r="B2" s="27"/>
      <c r="C2" s="27"/>
      <c r="D2" s="27"/>
      <c r="E2" s="27"/>
      <c r="F2" s="26"/>
      <c r="G2" s="26"/>
      <c r="H2" s="26"/>
      <c r="I2" s="26"/>
      <c r="J2" s="26"/>
    </row>
    <row r="3" spans="1:10" x14ac:dyDescent="0.25">
      <c r="A3" s="3" t="s">
        <v>0</v>
      </c>
      <c r="B3" s="4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17</v>
      </c>
      <c r="J3" s="6" t="s">
        <v>18</v>
      </c>
    </row>
    <row r="4" spans="1:10" x14ac:dyDescent="0.25">
      <c r="A4" s="7"/>
      <c r="B4" s="8"/>
      <c r="C4" s="9"/>
      <c r="D4" s="9"/>
      <c r="E4" s="9"/>
      <c r="F4" s="9"/>
      <c r="G4" s="9"/>
      <c r="H4" s="9"/>
      <c r="I4" s="10"/>
      <c r="J4" s="11"/>
    </row>
    <row r="5" spans="1:10" x14ac:dyDescent="0.25">
      <c r="A5" s="12"/>
      <c r="B5" s="13"/>
      <c r="C5" s="14"/>
      <c r="D5" s="14"/>
      <c r="E5" s="14"/>
      <c r="F5" s="14"/>
      <c r="G5" s="14"/>
      <c r="H5" s="14"/>
      <c r="I5" s="14"/>
      <c r="J5" s="15"/>
    </row>
    <row r="6" spans="1:10" x14ac:dyDescent="0.25">
      <c r="A6" s="12"/>
      <c r="B6" s="13"/>
      <c r="C6" s="14"/>
      <c r="D6" s="14"/>
      <c r="E6" s="14"/>
      <c r="F6" s="14"/>
      <c r="G6" s="14"/>
      <c r="H6" s="14"/>
      <c r="I6" s="14"/>
      <c r="J6" s="15"/>
    </row>
    <row r="7" spans="1:10" x14ac:dyDescent="0.25">
      <c r="A7" s="12"/>
      <c r="B7" s="13"/>
      <c r="C7" s="14"/>
      <c r="D7" s="14"/>
      <c r="E7" s="14"/>
      <c r="F7" s="14"/>
      <c r="G7" s="14"/>
      <c r="H7" s="14"/>
      <c r="I7" s="14"/>
      <c r="J7" s="15"/>
    </row>
    <row r="8" spans="1:10" x14ac:dyDescent="0.25">
      <c r="A8" s="12"/>
      <c r="B8" s="13"/>
      <c r="C8" s="14"/>
      <c r="D8" s="14"/>
      <c r="E8" s="14"/>
      <c r="F8" s="14"/>
      <c r="G8" s="14"/>
      <c r="H8" s="14"/>
      <c r="I8" s="14"/>
      <c r="J8" s="15"/>
    </row>
    <row r="9" spans="1:10" x14ac:dyDescent="0.25">
      <c r="A9" s="7"/>
      <c r="B9" s="8"/>
      <c r="C9" s="9"/>
      <c r="D9" s="9"/>
      <c r="E9" s="9"/>
      <c r="F9" s="9"/>
      <c r="G9" s="9"/>
      <c r="H9" s="9"/>
      <c r="I9" s="9"/>
      <c r="J9" s="20"/>
    </row>
    <row r="10" spans="1:10" x14ac:dyDescent="0.25">
      <c r="A10" s="12"/>
      <c r="B10" s="13"/>
      <c r="C10" s="14"/>
      <c r="D10" s="14"/>
      <c r="E10" s="14"/>
      <c r="F10" s="14"/>
      <c r="G10" s="14"/>
      <c r="H10" s="14"/>
      <c r="I10" s="14"/>
      <c r="J10" s="15"/>
    </row>
    <row r="11" spans="1:10" x14ac:dyDescent="0.25">
      <c r="A11" s="12"/>
      <c r="B11" s="13"/>
      <c r="C11" s="14"/>
      <c r="D11" s="14"/>
      <c r="E11" s="14"/>
      <c r="F11" s="14"/>
      <c r="G11" s="14"/>
      <c r="H11" s="14"/>
      <c r="I11" s="14"/>
      <c r="J11" s="15"/>
    </row>
    <row r="12" spans="1:10" x14ac:dyDescent="0.25">
      <c r="A12" s="12"/>
      <c r="B12" s="13"/>
      <c r="C12" s="14"/>
      <c r="D12" s="14"/>
      <c r="E12" s="14"/>
      <c r="F12" s="14"/>
      <c r="G12" s="14"/>
      <c r="H12" s="14"/>
      <c r="I12" s="14"/>
      <c r="J12" s="15"/>
    </row>
    <row r="13" spans="1:10" x14ac:dyDescent="0.25">
      <c r="A13" s="12"/>
      <c r="B13" s="13"/>
      <c r="C13" s="14"/>
      <c r="D13" s="14"/>
      <c r="E13" s="14"/>
      <c r="F13" s="14"/>
      <c r="G13" s="14"/>
      <c r="H13" s="14"/>
      <c r="I13" s="14"/>
      <c r="J13" s="15"/>
    </row>
    <row r="14" spans="1:10" x14ac:dyDescent="0.25">
      <c r="A14" s="12"/>
      <c r="B14" s="13"/>
      <c r="C14" s="14"/>
      <c r="D14" s="14"/>
      <c r="E14" s="14"/>
      <c r="F14" s="14"/>
      <c r="G14" s="14"/>
      <c r="H14" s="14"/>
      <c r="I14" s="14"/>
      <c r="J14" s="15"/>
    </row>
    <row r="15" spans="1:10" x14ac:dyDescent="0.25">
      <c r="A15" s="12"/>
      <c r="B15" s="13"/>
      <c r="C15" s="14"/>
      <c r="D15" s="14"/>
      <c r="E15" s="14"/>
      <c r="F15" s="14"/>
      <c r="G15" s="14"/>
      <c r="H15" s="14"/>
      <c r="I15" s="14"/>
      <c r="J15" s="15"/>
    </row>
    <row r="16" spans="1:10" x14ac:dyDescent="0.25">
      <c r="A16" s="12"/>
      <c r="B16" s="13"/>
      <c r="C16" s="14"/>
      <c r="D16" s="14"/>
      <c r="E16" s="14"/>
      <c r="F16" s="14"/>
      <c r="G16" s="14"/>
      <c r="H16" s="14"/>
      <c r="I16" s="14"/>
      <c r="J16" s="15" t="str">
        <f>IFERROR((((Tabela1[[#This Row],[CURTIDAS]]+Tabela1[[#This Row],[COMENTÁRIOS]]+Tabela1[[#This Row],[SALVOS]])/Tabela1[[#This Row],[ALCANCE]])),"")</f>
        <v/>
      </c>
    </row>
    <row r="17" spans="1:10" x14ac:dyDescent="0.25">
      <c r="A17" s="12"/>
      <c r="B17" s="13"/>
      <c r="C17" s="14"/>
      <c r="D17" s="14"/>
      <c r="E17" s="14"/>
      <c r="F17" s="14"/>
      <c r="G17" s="14"/>
      <c r="H17" s="14"/>
      <c r="I17" s="14"/>
      <c r="J17" s="15" t="str">
        <f>IFERROR((((Tabela1[[#This Row],[CURTIDAS]]+Tabela1[[#This Row],[COMENTÁRIOS]]+Tabela1[[#This Row],[SALVOS]])/Tabela1[[#This Row],[ALCANCE]])),"")</f>
        <v/>
      </c>
    </row>
    <row r="18" spans="1:10" x14ac:dyDescent="0.25">
      <c r="A18" s="12"/>
      <c r="B18" s="13"/>
      <c r="C18" s="14"/>
      <c r="D18" s="14"/>
      <c r="E18" s="14"/>
      <c r="F18" s="14"/>
      <c r="G18" s="14"/>
      <c r="H18" s="14"/>
      <c r="I18" s="14"/>
      <c r="J18" s="15" t="str">
        <f>IFERROR((((Tabela1[[#This Row],[CURTIDAS]]+Tabela1[[#This Row],[COMENTÁRIOS]]+Tabela1[[#This Row],[SALVOS]])/Tabela1[[#This Row],[ALCANCE]])),"")</f>
        <v/>
      </c>
    </row>
    <row r="19" spans="1:10" x14ac:dyDescent="0.25">
      <c r="A19" s="12"/>
      <c r="B19" s="13"/>
      <c r="C19" s="14"/>
      <c r="D19" s="14"/>
      <c r="E19" s="14"/>
      <c r="F19" s="14"/>
      <c r="G19" s="14"/>
      <c r="H19" s="14"/>
      <c r="I19" s="14"/>
      <c r="J19" s="15" t="str">
        <f>IFERROR((((Tabela1[[#This Row],[CURTIDAS]]+Tabela1[[#This Row],[COMENTÁRIOS]]+Tabela1[[#This Row],[SALVOS]])/Tabela1[[#This Row],[ALCANCE]])),"")</f>
        <v/>
      </c>
    </row>
    <row r="20" spans="1:10" x14ac:dyDescent="0.25">
      <c r="A20" s="12"/>
      <c r="B20" s="13"/>
      <c r="C20" s="14"/>
      <c r="D20" s="14"/>
      <c r="E20" s="14"/>
      <c r="F20" s="14"/>
      <c r="G20" s="14"/>
      <c r="H20" s="14"/>
      <c r="I20" s="14"/>
      <c r="J20" s="15" t="str">
        <f>IFERROR((((Tabela1[[#This Row],[CURTIDAS]]+Tabela1[[#This Row],[COMENTÁRIOS]]+Tabela1[[#This Row],[SALVOS]])/Tabela1[[#This Row],[ALCANCE]])),"")</f>
        <v/>
      </c>
    </row>
    <row r="21" spans="1:10" x14ac:dyDescent="0.25">
      <c r="A21" s="12"/>
      <c r="B21" s="13"/>
      <c r="C21" s="14"/>
      <c r="D21" s="14"/>
      <c r="E21" s="14"/>
      <c r="F21" s="14"/>
      <c r="G21" s="14"/>
      <c r="H21" s="14"/>
      <c r="I21" s="14"/>
      <c r="J21" s="15" t="str">
        <f>IFERROR((((Tabela1[[#This Row],[CURTIDAS]]+Tabela1[[#This Row],[COMENTÁRIOS]]+Tabela1[[#This Row],[SALVOS]])/Tabela1[[#This Row],[ALCANCE]])),"")</f>
        <v/>
      </c>
    </row>
    <row r="22" spans="1:10" x14ac:dyDescent="0.25">
      <c r="A22" s="12"/>
      <c r="B22" s="13"/>
      <c r="C22" s="14"/>
      <c r="D22" s="14"/>
      <c r="E22" s="14"/>
      <c r="F22" s="14"/>
      <c r="G22" s="14"/>
      <c r="H22" s="14"/>
      <c r="I22" s="14"/>
      <c r="J22" s="15" t="str">
        <f>IFERROR((((Tabela1[[#This Row],[CURTIDAS]]+Tabela1[[#This Row],[COMENTÁRIOS]]+Tabela1[[#This Row],[SALVOS]])/Tabela1[[#This Row],[ALCANCE]])),"")</f>
        <v/>
      </c>
    </row>
    <row r="23" spans="1:10" x14ac:dyDescent="0.25">
      <c r="A23" s="12"/>
      <c r="B23" s="13"/>
      <c r="C23" s="14"/>
      <c r="D23" s="14"/>
      <c r="E23" s="14"/>
      <c r="F23" s="14"/>
      <c r="G23" s="14"/>
      <c r="H23" s="14"/>
      <c r="I23" s="14"/>
      <c r="J23" s="15" t="str">
        <f>IFERROR((((Tabela1[[#This Row],[CURTIDAS]]+Tabela1[[#This Row],[COMENTÁRIOS]]+Tabela1[[#This Row],[SALVOS]])/Tabela1[[#This Row],[ALCANCE]])),"")</f>
        <v/>
      </c>
    </row>
    <row r="24" spans="1:10" x14ac:dyDescent="0.25">
      <c r="A24" s="12"/>
      <c r="B24" s="13"/>
      <c r="C24" s="14"/>
      <c r="D24" s="14"/>
      <c r="E24" s="14"/>
      <c r="F24" s="14"/>
      <c r="G24" s="14"/>
      <c r="H24" s="14"/>
      <c r="I24" s="14"/>
      <c r="J24" s="15" t="str">
        <f>IFERROR((((Tabela1[[#This Row],[CURTIDAS]]+Tabela1[[#This Row],[COMENTÁRIOS]]+Tabela1[[#This Row],[SALVOS]])/Tabela1[[#This Row],[ALCANCE]])),"")</f>
        <v/>
      </c>
    </row>
    <row r="25" spans="1:10" x14ac:dyDescent="0.25">
      <c r="A25" s="12"/>
      <c r="B25" s="13"/>
      <c r="C25" s="14"/>
      <c r="D25" s="14"/>
      <c r="E25" s="14"/>
      <c r="F25" s="14"/>
      <c r="G25" s="14"/>
      <c r="H25" s="14"/>
      <c r="I25" s="14"/>
      <c r="J25" s="15" t="str">
        <f>IFERROR((((Tabela1[[#This Row],[CURTIDAS]]+Tabela1[[#This Row],[COMENTÁRIOS]]+Tabela1[[#This Row],[SALVOS]])/Tabela1[[#This Row],[ALCANCE]])),"")</f>
        <v/>
      </c>
    </row>
    <row r="26" spans="1:10" x14ac:dyDescent="0.25">
      <c r="A26" s="12"/>
      <c r="B26" s="13"/>
      <c r="C26" s="14"/>
      <c r="D26" s="14"/>
      <c r="E26" s="14"/>
      <c r="F26" s="14"/>
      <c r="G26" s="14"/>
      <c r="H26" s="14"/>
      <c r="I26" s="14"/>
      <c r="J26" s="15" t="str">
        <f>IFERROR((((Tabela1[[#This Row],[CURTIDAS]]+Tabela1[[#This Row],[COMENTÁRIOS]]+Tabela1[[#This Row],[SALVOS]])/Tabela1[[#This Row],[ALCANCE]])),"")</f>
        <v/>
      </c>
    </row>
    <row r="27" spans="1:10" x14ac:dyDescent="0.25">
      <c r="A27" s="12"/>
      <c r="B27" s="13"/>
      <c r="C27" s="14"/>
      <c r="D27" s="14"/>
      <c r="E27" s="14"/>
      <c r="F27" s="14"/>
      <c r="G27" s="14"/>
      <c r="H27" s="14"/>
      <c r="I27" s="14"/>
      <c r="J27" s="15" t="str">
        <f>IFERROR((((Tabela1[[#This Row],[CURTIDAS]]+Tabela1[[#This Row],[COMENTÁRIOS]]+Tabela1[[#This Row],[SALVOS]])/Tabela1[[#This Row],[ALCANCE]])),"")</f>
        <v/>
      </c>
    </row>
    <row r="28" spans="1:10" x14ac:dyDescent="0.25">
      <c r="A28" s="12"/>
      <c r="B28" s="13"/>
      <c r="C28" s="14"/>
      <c r="D28" s="14"/>
      <c r="E28" s="14"/>
      <c r="F28" s="14"/>
      <c r="G28" s="14"/>
      <c r="H28" s="14"/>
      <c r="I28" s="14"/>
      <c r="J28" s="15" t="str">
        <f>IFERROR((((Tabela1[[#This Row],[CURTIDAS]]+Tabela1[[#This Row],[COMENTÁRIOS]]+Tabela1[[#This Row],[SALVOS]])/Tabela1[[#This Row],[ALCANCE]])),"")</f>
        <v/>
      </c>
    </row>
    <row r="29" spans="1:10" x14ac:dyDescent="0.25">
      <c r="A29" s="12"/>
      <c r="B29" s="13"/>
      <c r="C29" s="14"/>
      <c r="D29" s="14"/>
      <c r="E29" s="14"/>
      <c r="F29" s="14"/>
      <c r="G29" s="14"/>
      <c r="H29" s="14"/>
      <c r="I29" s="14"/>
      <c r="J29" s="15" t="str">
        <f>IFERROR((((Tabela1[[#This Row],[CURTIDAS]]+Tabela1[[#This Row],[COMENTÁRIOS]]+Tabela1[[#This Row],[SALVOS]])/Tabela1[[#This Row],[ALCANCE]])),"")</f>
        <v/>
      </c>
    </row>
    <row r="30" spans="1:10" x14ac:dyDescent="0.25">
      <c r="A30" s="12"/>
      <c r="B30" s="13"/>
      <c r="C30" s="14"/>
      <c r="D30" s="14"/>
      <c r="E30" s="14"/>
      <c r="F30" s="14"/>
      <c r="G30" s="14"/>
      <c r="H30" s="14"/>
      <c r="I30" s="14"/>
      <c r="J30" s="15" t="str">
        <f>IFERROR((((Tabela1[[#This Row],[CURTIDAS]]+Tabela1[[#This Row],[COMENTÁRIOS]]+Tabela1[[#This Row],[SALVOS]])/Tabela1[[#This Row],[ALCANCE]])),"")</f>
        <v/>
      </c>
    </row>
    <row r="31" spans="1:10" x14ac:dyDescent="0.25">
      <c r="A31" s="12"/>
      <c r="B31" s="13"/>
      <c r="C31" s="14"/>
      <c r="D31" s="14"/>
      <c r="E31" s="14"/>
      <c r="F31" s="14"/>
      <c r="G31" s="14"/>
      <c r="H31" s="14"/>
      <c r="I31" s="14"/>
      <c r="J31" s="15" t="str">
        <f>IFERROR((((Tabela1[[#This Row],[CURTIDAS]]+Tabela1[[#This Row],[COMENTÁRIOS]]+Tabela1[[#This Row],[SALVOS]])/Tabela1[[#This Row],[ALCANCE]])),"")</f>
        <v/>
      </c>
    </row>
    <row r="32" spans="1:10" x14ac:dyDescent="0.25">
      <c r="A32" s="12"/>
      <c r="B32" s="13"/>
      <c r="C32" s="14"/>
      <c r="D32" s="14"/>
      <c r="E32" s="14"/>
      <c r="F32" s="14"/>
      <c r="G32" s="14"/>
      <c r="H32" s="14"/>
      <c r="I32" s="14"/>
      <c r="J32" s="15" t="str">
        <f>IFERROR((((Tabela1[[#This Row],[CURTIDAS]]+Tabela1[[#This Row],[COMENTÁRIOS]]+Tabela1[[#This Row],[SALVOS]])/Tabela1[[#This Row],[ALCANCE]])),"")</f>
        <v/>
      </c>
    </row>
    <row r="33" spans="1:10" x14ac:dyDescent="0.25">
      <c r="A33" s="12"/>
      <c r="B33" s="13"/>
      <c r="C33" s="14"/>
      <c r="D33" s="14"/>
      <c r="E33" s="14"/>
      <c r="F33" s="14"/>
      <c r="G33" s="14"/>
      <c r="H33" s="14"/>
      <c r="I33" s="14"/>
      <c r="J33" s="15" t="str">
        <f>IFERROR((((Tabela1[[#This Row],[CURTIDAS]]+Tabela1[[#This Row],[COMENTÁRIOS]]+Tabela1[[#This Row],[SALVOS]])/Tabela1[[#This Row],[ALCANCE]])),"")</f>
        <v/>
      </c>
    </row>
    <row r="34" spans="1:10" x14ac:dyDescent="0.25">
      <c r="A34" s="12"/>
      <c r="B34" s="13"/>
      <c r="C34" s="14"/>
      <c r="D34" s="14"/>
      <c r="E34" s="14"/>
      <c r="F34" s="14"/>
      <c r="G34" s="14"/>
      <c r="H34" s="14"/>
      <c r="I34" s="14"/>
      <c r="J34" s="15" t="str">
        <f>IFERROR((((Tabela1[[#This Row],[CURTIDAS]]+Tabela1[[#This Row],[COMENTÁRIOS]]+Tabela1[[#This Row],[SALVOS]])/Tabela1[[#This Row],[ALCANCE]])),"")</f>
        <v/>
      </c>
    </row>
    <row r="35" spans="1:10" x14ac:dyDescent="0.25">
      <c r="A35" s="12"/>
      <c r="B35" s="13"/>
      <c r="C35" s="14"/>
      <c r="D35" s="14"/>
      <c r="E35" s="14"/>
      <c r="F35" s="14"/>
      <c r="G35" s="14"/>
      <c r="H35" s="14"/>
      <c r="I35" s="14"/>
      <c r="J35" s="15" t="str">
        <f>IFERROR((((Tabela1[[#This Row],[CURTIDAS]]+Tabela1[[#This Row],[COMENTÁRIOS]]+Tabela1[[#This Row],[SALVOS]])/Tabela1[[#This Row],[ALCANCE]])),"")</f>
        <v/>
      </c>
    </row>
    <row r="36" spans="1:10" x14ac:dyDescent="0.25">
      <c r="A36" s="12"/>
      <c r="B36" s="13"/>
      <c r="C36" s="14"/>
      <c r="D36" s="14"/>
      <c r="E36" s="14"/>
      <c r="F36" s="14"/>
      <c r="G36" s="14"/>
      <c r="H36" s="14"/>
      <c r="I36" s="14"/>
      <c r="J36" s="15" t="str">
        <f>IFERROR((((Tabela1[[#This Row],[CURTIDAS]]+Tabela1[[#This Row],[COMENTÁRIOS]]+Tabela1[[#This Row],[SALVOS]])/Tabela1[[#This Row],[ALCANCE]])),"")</f>
        <v/>
      </c>
    </row>
    <row r="37" spans="1:10" x14ac:dyDescent="0.25">
      <c r="A37" s="12"/>
      <c r="B37" s="13"/>
      <c r="C37" s="14"/>
      <c r="D37" s="14"/>
      <c r="E37" s="14"/>
      <c r="F37" s="14"/>
      <c r="G37" s="14"/>
      <c r="H37" s="14"/>
      <c r="I37" s="14"/>
      <c r="J37" s="15" t="str">
        <f>IFERROR((((Tabela1[[#This Row],[CURTIDAS]]+Tabela1[[#This Row],[COMENTÁRIOS]]+Tabela1[[#This Row],[SALVOS]])/Tabela1[[#This Row],[ALCANCE]])),"")</f>
        <v/>
      </c>
    </row>
    <row r="38" spans="1:10" x14ac:dyDescent="0.25">
      <c r="A38" s="12"/>
      <c r="B38" s="13"/>
      <c r="C38" s="14"/>
      <c r="D38" s="14"/>
      <c r="E38" s="14"/>
      <c r="F38" s="14"/>
      <c r="G38" s="14"/>
      <c r="H38" s="14"/>
      <c r="I38" s="14"/>
      <c r="J38" s="15" t="str">
        <f>IFERROR((((Tabela1[[#This Row],[CURTIDAS]]+Tabela1[[#This Row],[COMENTÁRIOS]]+Tabela1[[#This Row],[SALVOS]])/Tabela1[[#This Row],[ALCANCE]])),"")</f>
        <v/>
      </c>
    </row>
    <row r="39" spans="1:10" x14ac:dyDescent="0.25">
      <c r="A39" s="12"/>
      <c r="B39" s="13"/>
      <c r="C39" s="14"/>
      <c r="D39" s="14"/>
      <c r="E39" s="14"/>
      <c r="F39" s="14"/>
      <c r="G39" s="14"/>
      <c r="H39" s="14"/>
      <c r="I39" s="14"/>
      <c r="J39" s="15" t="str">
        <f>IFERROR((((Tabela1[[#This Row],[CURTIDAS]]+Tabela1[[#This Row],[COMENTÁRIOS]]+Tabela1[[#This Row],[SALVOS]])/Tabela1[[#This Row],[ALCANCE]])),"")</f>
        <v/>
      </c>
    </row>
    <row r="40" spans="1:10" x14ac:dyDescent="0.25">
      <c r="A40" s="12"/>
      <c r="B40" s="13"/>
      <c r="C40" s="14"/>
      <c r="D40" s="14"/>
      <c r="E40" s="14"/>
      <c r="F40" s="14"/>
      <c r="G40" s="14"/>
      <c r="H40" s="14"/>
      <c r="I40" s="14"/>
      <c r="J40" s="15" t="str">
        <f>IFERROR((((Tabela1[[#This Row],[CURTIDAS]]+Tabela1[[#This Row],[COMENTÁRIOS]]+Tabela1[[#This Row],[SALVOS]])/Tabela1[[#This Row],[ALCANCE]])),"")</f>
        <v/>
      </c>
    </row>
    <row r="41" spans="1:10" x14ac:dyDescent="0.25">
      <c r="A41" s="12"/>
      <c r="B41" s="13"/>
      <c r="C41" s="14"/>
      <c r="D41" s="14"/>
      <c r="E41" s="14"/>
      <c r="F41" s="14"/>
      <c r="G41" s="14"/>
      <c r="H41" s="14"/>
      <c r="I41" s="14"/>
      <c r="J41" s="15" t="str">
        <f>IFERROR((((Tabela1[[#This Row],[CURTIDAS]]+Tabela1[[#This Row],[COMENTÁRIOS]]+Tabela1[[#This Row],[SALVOS]])/Tabela1[[#This Row],[ALCANCE]])),"")</f>
        <v/>
      </c>
    </row>
    <row r="42" spans="1:10" x14ac:dyDescent="0.25">
      <c r="A42" s="12"/>
      <c r="B42" s="13"/>
      <c r="C42" s="14"/>
      <c r="D42" s="14"/>
      <c r="E42" s="14"/>
      <c r="F42" s="14"/>
      <c r="G42" s="14"/>
      <c r="H42" s="14"/>
      <c r="I42" s="14"/>
      <c r="J42" s="15" t="str">
        <f>IFERROR((((Tabela1[[#This Row],[CURTIDAS]]+Tabela1[[#This Row],[COMENTÁRIOS]]+Tabela1[[#This Row],[SALVOS]])/Tabela1[[#This Row],[ALCANCE]])),"")</f>
        <v/>
      </c>
    </row>
    <row r="43" spans="1:10" x14ac:dyDescent="0.25">
      <c r="A43" s="12"/>
      <c r="B43" s="13"/>
      <c r="C43" s="14"/>
      <c r="D43" s="14"/>
      <c r="E43" s="14"/>
      <c r="F43" s="14"/>
      <c r="G43" s="14"/>
      <c r="H43" s="14"/>
      <c r="I43" s="14"/>
      <c r="J43" s="15" t="str">
        <f>IFERROR((((Tabela1[[#This Row],[CURTIDAS]]+Tabela1[[#This Row],[COMENTÁRIOS]]+Tabela1[[#This Row],[SALVOS]])/Tabela1[[#This Row],[ALCANCE]])),"")</f>
        <v/>
      </c>
    </row>
    <row r="44" spans="1:10" x14ac:dyDescent="0.25">
      <c r="A44" s="12"/>
      <c r="B44" s="13"/>
      <c r="C44" s="14"/>
      <c r="D44" s="14"/>
      <c r="E44" s="14"/>
      <c r="F44" s="14"/>
      <c r="G44" s="14"/>
      <c r="H44" s="14"/>
      <c r="I44" s="14"/>
      <c r="J44" s="15" t="str">
        <f>IFERROR((((Tabela1[[#This Row],[CURTIDAS]]+Tabela1[[#This Row],[COMENTÁRIOS]]+Tabela1[[#This Row],[SALVOS]])/Tabela1[[#This Row],[ALCANCE]])),"")</f>
        <v/>
      </c>
    </row>
    <row r="45" spans="1:10" x14ac:dyDescent="0.25">
      <c r="A45" s="12"/>
      <c r="B45" s="13"/>
      <c r="C45" s="14"/>
      <c r="D45" s="14"/>
      <c r="E45" s="14"/>
      <c r="F45" s="14"/>
      <c r="G45" s="14"/>
      <c r="H45" s="14"/>
      <c r="I45" s="14"/>
      <c r="J45" s="15" t="str">
        <f>IFERROR((((Tabela1[[#This Row],[CURTIDAS]]+Tabela1[[#This Row],[COMENTÁRIOS]]+Tabela1[[#This Row],[SALVOS]])/Tabela1[[#This Row],[ALCANCE]])),"")</f>
        <v/>
      </c>
    </row>
    <row r="46" spans="1:10" x14ac:dyDescent="0.25">
      <c r="A46" s="12"/>
      <c r="B46" s="13"/>
      <c r="C46" s="14"/>
      <c r="D46" s="14"/>
      <c r="E46" s="14"/>
      <c r="F46" s="14"/>
      <c r="G46" s="14"/>
      <c r="H46" s="14"/>
      <c r="I46" s="14"/>
      <c r="J46" s="15" t="str">
        <f>IFERROR((((Tabela1[[#This Row],[CURTIDAS]]+Tabela1[[#This Row],[COMENTÁRIOS]]+Tabela1[[#This Row],[SALVOS]])/Tabela1[[#This Row],[ALCANCE]])),"")</f>
        <v/>
      </c>
    </row>
    <row r="47" spans="1:10" x14ac:dyDescent="0.25">
      <c r="A47" s="12"/>
      <c r="B47" s="13"/>
      <c r="C47" s="14"/>
      <c r="D47" s="14"/>
      <c r="E47" s="14"/>
      <c r="F47" s="14"/>
      <c r="G47" s="14"/>
      <c r="H47" s="14"/>
      <c r="I47" s="14"/>
      <c r="J47" s="15" t="str">
        <f>IFERROR((((Tabela1[[#This Row],[CURTIDAS]]+Tabela1[[#This Row],[COMENTÁRIOS]]+Tabela1[[#This Row],[SALVOS]])/Tabela1[[#This Row],[ALCANCE]])),"")</f>
        <v/>
      </c>
    </row>
    <row r="48" spans="1:10" x14ac:dyDescent="0.25">
      <c r="A48" s="12"/>
      <c r="B48" s="13"/>
      <c r="C48" s="14"/>
      <c r="D48" s="14"/>
      <c r="E48" s="14"/>
      <c r="F48" s="14"/>
      <c r="G48" s="14"/>
      <c r="H48" s="14"/>
      <c r="I48" s="14"/>
      <c r="J48" s="15" t="str">
        <f>IFERROR((((Tabela1[[#This Row],[CURTIDAS]]+Tabela1[[#This Row],[COMENTÁRIOS]]+Tabela1[[#This Row],[SALVOS]])/Tabela1[[#This Row],[ALCANCE]])),"")</f>
        <v/>
      </c>
    </row>
    <row r="49" spans="1:10" x14ac:dyDescent="0.25">
      <c r="A49" s="12"/>
      <c r="B49" s="13"/>
      <c r="C49" s="14"/>
      <c r="D49" s="14"/>
      <c r="E49" s="14"/>
      <c r="F49" s="14"/>
      <c r="G49" s="14"/>
      <c r="H49" s="14"/>
      <c r="I49" s="14"/>
      <c r="J49" s="15" t="str">
        <f>IFERROR((((Tabela1[[#This Row],[CURTIDAS]]+Tabela1[[#This Row],[COMENTÁRIOS]]+Tabela1[[#This Row],[SALVOS]])/Tabela1[[#This Row],[ALCANCE]])),"")</f>
        <v/>
      </c>
    </row>
    <row r="50" spans="1:10" x14ac:dyDescent="0.25">
      <c r="A50" s="12"/>
      <c r="B50" s="13"/>
      <c r="C50" s="14"/>
      <c r="D50" s="14"/>
      <c r="E50" s="14"/>
      <c r="F50" s="14"/>
      <c r="G50" s="14"/>
      <c r="H50" s="14"/>
      <c r="I50" s="14"/>
      <c r="J50" s="15" t="str">
        <f>IFERROR((((Tabela1[[#This Row],[CURTIDAS]]+Tabela1[[#This Row],[COMENTÁRIOS]]+Tabela1[[#This Row],[SALVOS]])/Tabela1[[#This Row],[ALCANCE]])),"")</f>
        <v/>
      </c>
    </row>
    <row r="51" spans="1:10" x14ac:dyDescent="0.25">
      <c r="A51" s="12"/>
      <c r="B51" s="13"/>
      <c r="C51" s="14"/>
      <c r="D51" s="14"/>
      <c r="E51" s="14"/>
      <c r="F51" s="14"/>
      <c r="G51" s="14"/>
      <c r="H51" s="14"/>
      <c r="I51" s="14"/>
      <c r="J51" s="15" t="str">
        <f>IFERROR((((Tabela1[[#This Row],[CURTIDAS]]+Tabela1[[#This Row],[COMENTÁRIOS]]+Tabela1[[#This Row],[SALVOS]])/Tabela1[[#This Row],[ALCANCE]])),"")</f>
        <v/>
      </c>
    </row>
    <row r="52" spans="1:10" x14ac:dyDescent="0.25">
      <c r="A52" s="12"/>
      <c r="B52" s="13"/>
      <c r="C52" s="14"/>
      <c r="D52" s="14"/>
      <c r="E52" s="14"/>
      <c r="F52" s="14"/>
      <c r="G52" s="14"/>
      <c r="H52" s="14"/>
      <c r="I52" s="14"/>
      <c r="J52" s="15" t="str">
        <f>IFERROR((((Tabela1[[#This Row],[CURTIDAS]]+Tabela1[[#This Row],[COMENTÁRIOS]]+Tabela1[[#This Row],[SALVOS]])/Tabela1[[#This Row],[ALCANCE]])),"")</f>
        <v/>
      </c>
    </row>
    <row r="53" spans="1:10" x14ac:dyDescent="0.25">
      <c r="A53" s="12"/>
      <c r="B53" s="13"/>
      <c r="C53" s="14"/>
      <c r="D53" s="14"/>
      <c r="E53" s="14"/>
      <c r="F53" s="14"/>
      <c r="G53" s="14"/>
      <c r="H53" s="14"/>
      <c r="I53" s="14"/>
      <c r="J53" s="15" t="str">
        <f>IFERROR((((Tabela1[[#This Row],[CURTIDAS]]+Tabela1[[#This Row],[COMENTÁRIOS]]+Tabela1[[#This Row],[SALVOS]])/Tabela1[[#This Row],[ALCANCE]])),"")</f>
        <v/>
      </c>
    </row>
    <row r="54" spans="1:10" x14ac:dyDescent="0.25">
      <c r="A54" s="12"/>
      <c r="B54" s="13"/>
      <c r="C54" s="14"/>
      <c r="D54" s="14"/>
      <c r="E54" s="14"/>
      <c r="F54" s="14"/>
      <c r="G54" s="14"/>
      <c r="H54" s="14"/>
      <c r="I54" s="14"/>
      <c r="J54" s="15" t="str">
        <f>IFERROR((((Tabela1[[#This Row],[CURTIDAS]]+Tabela1[[#This Row],[COMENTÁRIOS]]+Tabela1[[#This Row],[SALVOS]])/Tabela1[[#This Row],[ALCANCE]])),"")</f>
        <v/>
      </c>
    </row>
    <row r="55" spans="1:10" x14ac:dyDescent="0.25">
      <c r="A55" s="12"/>
      <c r="B55" s="13"/>
      <c r="C55" s="14"/>
      <c r="D55" s="14"/>
      <c r="E55" s="14"/>
      <c r="F55" s="14"/>
      <c r="G55" s="14"/>
      <c r="H55" s="14"/>
      <c r="I55" s="14"/>
      <c r="J55" s="15" t="str">
        <f>IFERROR((((Tabela1[[#This Row],[CURTIDAS]]+Tabela1[[#This Row],[COMENTÁRIOS]]+Tabela1[[#This Row],[SALVOS]])/Tabela1[[#This Row],[ALCANCE]])),"")</f>
        <v/>
      </c>
    </row>
    <row r="56" spans="1:10" x14ac:dyDescent="0.25">
      <c r="A56" s="12"/>
      <c r="B56" s="13"/>
      <c r="C56" s="14"/>
      <c r="D56" s="14"/>
      <c r="E56" s="14"/>
      <c r="F56" s="14"/>
      <c r="G56" s="14"/>
      <c r="H56" s="14"/>
      <c r="I56" s="14"/>
      <c r="J56" s="15" t="str">
        <f>IFERROR((((Tabela1[[#This Row],[CURTIDAS]]+Tabela1[[#This Row],[COMENTÁRIOS]]+Tabela1[[#This Row],[SALVOS]])/Tabela1[[#This Row],[ALCANCE]])),"")</f>
        <v/>
      </c>
    </row>
    <row r="57" spans="1:10" x14ac:dyDescent="0.25">
      <c r="A57" s="12"/>
      <c r="B57" s="13"/>
      <c r="C57" s="14"/>
      <c r="D57" s="14"/>
      <c r="E57" s="14"/>
      <c r="F57" s="14"/>
      <c r="G57" s="14"/>
      <c r="H57" s="14"/>
      <c r="I57" s="14"/>
      <c r="J57" s="15" t="str">
        <f>IFERROR((((Tabela1[[#This Row],[CURTIDAS]]+Tabela1[[#This Row],[COMENTÁRIOS]]+Tabela1[[#This Row],[SALVOS]])/Tabela1[[#This Row],[ALCANCE]])),"")</f>
        <v/>
      </c>
    </row>
    <row r="58" spans="1:10" x14ac:dyDescent="0.25">
      <c r="A58" s="12"/>
      <c r="B58" s="13"/>
      <c r="C58" s="14"/>
      <c r="D58" s="14"/>
      <c r="E58" s="14"/>
      <c r="F58" s="14"/>
      <c r="G58" s="14"/>
      <c r="H58" s="14"/>
      <c r="I58" s="14"/>
      <c r="J58" s="15" t="str">
        <f>IFERROR((((Tabela1[[#This Row],[CURTIDAS]]+Tabela1[[#This Row],[COMENTÁRIOS]]+Tabela1[[#This Row],[SALVOS]])/Tabela1[[#This Row],[ALCANCE]])),"")</f>
        <v/>
      </c>
    </row>
    <row r="59" spans="1:10" x14ac:dyDescent="0.25">
      <c r="A59" s="12"/>
      <c r="B59" s="13"/>
      <c r="C59" s="14"/>
      <c r="D59" s="14"/>
      <c r="E59" s="14"/>
      <c r="F59" s="14"/>
      <c r="G59" s="14"/>
      <c r="H59" s="14"/>
      <c r="I59" s="14"/>
      <c r="J59" s="15" t="str">
        <f>IFERROR((((Tabela1[[#This Row],[CURTIDAS]]+Tabela1[[#This Row],[COMENTÁRIOS]]+Tabela1[[#This Row],[SALVOS]])/Tabela1[[#This Row],[ALCANCE]])),"")</f>
        <v/>
      </c>
    </row>
    <row r="60" spans="1:10" x14ac:dyDescent="0.25">
      <c r="A60" s="12"/>
      <c r="B60" s="13"/>
      <c r="C60" s="14"/>
      <c r="D60" s="14"/>
      <c r="E60" s="14"/>
      <c r="F60" s="14"/>
      <c r="G60" s="14"/>
      <c r="H60" s="14"/>
      <c r="I60" s="14"/>
      <c r="J60" s="15" t="str">
        <f>IFERROR((((Tabela1[[#This Row],[CURTIDAS]]+Tabela1[[#This Row],[COMENTÁRIOS]]+Tabela1[[#This Row],[SALVOS]])/Tabela1[[#This Row],[ALCANCE]])),"")</f>
        <v/>
      </c>
    </row>
    <row r="61" spans="1:10" x14ac:dyDescent="0.25">
      <c r="A61" s="12"/>
      <c r="B61" s="13"/>
      <c r="C61" s="14"/>
      <c r="D61" s="14"/>
      <c r="E61" s="14"/>
      <c r="F61" s="14"/>
      <c r="G61" s="14"/>
      <c r="H61" s="14"/>
      <c r="I61" s="14"/>
      <c r="J61" s="15" t="str">
        <f>IFERROR((((Tabela1[[#This Row],[CURTIDAS]]+Tabela1[[#This Row],[COMENTÁRIOS]]+Tabela1[[#This Row],[SALVOS]])/Tabela1[[#This Row],[ALCANCE]])),"")</f>
        <v/>
      </c>
    </row>
    <row r="62" spans="1:10" x14ac:dyDescent="0.25">
      <c r="A62" s="12"/>
      <c r="B62" s="13"/>
      <c r="C62" s="14"/>
      <c r="D62" s="14"/>
      <c r="E62" s="14"/>
      <c r="F62" s="14"/>
      <c r="G62" s="14"/>
      <c r="H62" s="14"/>
      <c r="I62" s="14"/>
      <c r="J62" s="15" t="str">
        <f>IFERROR((((Tabela1[[#This Row],[CURTIDAS]]+Tabela1[[#This Row],[COMENTÁRIOS]]+Tabela1[[#This Row],[SALVOS]])/Tabela1[[#This Row],[ALCANCE]])),"")</f>
        <v/>
      </c>
    </row>
    <row r="63" spans="1:10" x14ac:dyDescent="0.25">
      <c r="A63" s="12"/>
      <c r="B63" s="13"/>
      <c r="C63" s="14"/>
      <c r="D63" s="14"/>
      <c r="E63" s="14"/>
      <c r="F63" s="14"/>
      <c r="G63" s="14"/>
      <c r="H63" s="14"/>
      <c r="I63" s="14"/>
      <c r="J63" s="15" t="str">
        <f>IFERROR((((Tabela1[[#This Row],[CURTIDAS]]+Tabela1[[#This Row],[COMENTÁRIOS]]+Tabela1[[#This Row],[SALVOS]])/Tabela1[[#This Row],[ALCANCE]])),"")</f>
        <v/>
      </c>
    </row>
    <row r="64" spans="1:10" x14ac:dyDescent="0.25">
      <c r="A64" s="12"/>
      <c r="B64" s="13"/>
      <c r="C64" s="14"/>
      <c r="D64" s="14"/>
      <c r="E64" s="14"/>
      <c r="F64" s="14"/>
      <c r="G64" s="14"/>
      <c r="H64" s="14"/>
      <c r="I64" s="14"/>
      <c r="J64" s="15" t="str">
        <f>IFERROR((((Tabela1[[#This Row],[CURTIDAS]]+Tabela1[[#This Row],[COMENTÁRIOS]]+Tabela1[[#This Row],[SALVOS]])/Tabela1[[#This Row],[ALCANCE]])),"")</f>
        <v/>
      </c>
    </row>
    <row r="65" spans="1:10" x14ac:dyDescent="0.25">
      <c r="A65" s="12"/>
      <c r="B65" s="13"/>
      <c r="C65" s="14"/>
      <c r="D65" s="14"/>
      <c r="E65" s="14"/>
      <c r="F65" s="14"/>
      <c r="G65" s="14"/>
      <c r="H65" s="14"/>
      <c r="I65" s="14"/>
      <c r="J65" s="15" t="str">
        <f>IFERROR((((Tabela1[[#This Row],[CURTIDAS]]+Tabela1[[#This Row],[COMENTÁRIOS]]+Tabela1[[#This Row],[SALVOS]])/Tabela1[[#This Row],[ALCANCE]])),"")</f>
        <v/>
      </c>
    </row>
    <row r="66" spans="1:10" x14ac:dyDescent="0.25">
      <c r="A66" s="12"/>
      <c r="B66" s="13"/>
      <c r="C66" s="14"/>
      <c r="D66" s="14"/>
      <c r="E66" s="14"/>
      <c r="F66" s="14"/>
      <c r="G66" s="14"/>
      <c r="H66" s="14"/>
      <c r="I66" s="14"/>
      <c r="J66" s="15" t="str">
        <f>IFERROR((((Tabela1[[#This Row],[CURTIDAS]]+Tabela1[[#This Row],[COMENTÁRIOS]]+Tabela1[[#This Row],[SALVOS]])/Tabela1[[#This Row],[ALCANCE]])),"")</f>
        <v/>
      </c>
    </row>
    <row r="67" spans="1:10" x14ac:dyDescent="0.25">
      <c r="A67" s="12"/>
      <c r="B67" s="13"/>
      <c r="C67" s="14"/>
      <c r="D67" s="14"/>
      <c r="E67" s="14"/>
      <c r="F67" s="14"/>
      <c r="G67" s="14"/>
      <c r="H67" s="14"/>
      <c r="I67" s="14"/>
      <c r="J67" s="15" t="str">
        <f>IFERROR((((Tabela1[[#This Row],[CURTIDAS]]+Tabela1[[#This Row],[COMENTÁRIOS]]+Tabela1[[#This Row],[SALVOS]])/Tabela1[[#This Row],[ALCANCE]])),"")</f>
        <v/>
      </c>
    </row>
    <row r="68" spans="1:10" x14ac:dyDescent="0.25">
      <c r="A68" s="12"/>
      <c r="B68" s="13"/>
      <c r="C68" s="14"/>
      <c r="D68" s="14"/>
      <c r="E68" s="14"/>
      <c r="F68" s="14"/>
      <c r="G68" s="14"/>
      <c r="H68" s="14"/>
      <c r="I68" s="14"/>
      <c r="J68" s="15" t="str">
        <f>IFERROR((((Tabela1[[#This Row],[CURTIDAS]]+Tabela1[[#This Row],[COMENTÁRIOS]]+Tabela1[[#This Row],[SALVOS]])/Tabela1[[#This Row],[ALCANCE]])),"")</f>
        <v/>
      </c>
    </row>
    <row r="69" spans="1:10" x14ac:dyDescent="0.25">
      <c r="A69" s="12"/>
      <c r="B69" s="13"/>
      <c r="C69" s="14"/>
      <c r="D69" s="14"/>
      <c r="E69" s="14"/>
      <c r="F69" s="14"/>
      <c r="G69" s="14"/>
      <c r="H69" s="14"/>
      <c r="I69" s="14"/>
      <c r="J69" s="15" t="str">
        <f>IFERROR((((Tabela1[[#This Row],[CURTIDAS]]+Tabela1[[#This Row],[COMENTÁRIOS]]+Tabela1[[#This Row],[SALVOS]])/Tabela1[[#This Row],[ALCANCE]])),"")</f>
        <v/>
      </c>
    </row>
    <row r="70" spans="1:10" x14ac:dyDescent="0.25">
      <c r="A70" s="12"/>
      <c r="B70" s="13"/>
      <c r="C70" s="14"/>
      <c r="D70" s="14"/>
      <c r="E70" s="14"/>
      <c r="F70" s="14"/>
      <c r="G70" s="14"/>
      <c r="H70" s="14"/>
      <c r="I70" s="14"/>
      <c r="J70" s="15" t="str">
        <f>IFERROR((((Tabela1[[#This Row],[CURTIDAS]]+Tabela1[[#This Row],[COMENTÁRIOS]]+Tabela1[[#This Row],[SALVOS]])/Tabela1[[#This Row],[ALCANCE]])),"")</f>
        <v/>
      </c>
    </row>
    <row r="71" spans="1:10" x14ac:dyDescent="0.25">
      <c r="A71" s="12"/>
      <c r="B71" s="13"/>
      <c r="C71" s="14"/>
      <c r="D71" s="14"/>
      <c r="E71" s="14"/>
      <c r="F71" s="14"/>
      <c r="G71" s="14"/>
      <c r="H71" s="14"/>
      <c r="I71" s="14"/>
      <c r="J71" s="15" t="str">
        <f>IFERROR((((Tabela1[[#This Row],[CURTIDAS]]+Tabela1[[#This Row],[COMENTÁRIOS]]+Tabela1[[#This Row],[SALVOS]])/Tabela1[[#This Row],[ALCANCE]])),"")</f>
        <v/>
      </c>
    </row>
    <row r="72" spans="1:10" x14ac:dyDescent="0.25">
      <c r="A72" s="12"/>
      <c r="B72" s="13"/>
      <c r="C72" s="14"/>
      <c r="D72" s="14"/>
      <c r="E72" s="14"/>
      <c r="F72" s="14"/>
      <c r="G72" s="14"/>
      <c r="H72" s="14"/>
      <c r="I72" s="14"/>
      <c r="J72" s="15" t="str">
        <f>IFERROR((((Tabela1[[#This Row],[CURTIDAS]]+Tabela1[[#This Row],[COMENTÁRIOS]]+Tabela1[[#This Row],[SALVOS]])/Tabela1[[#This Row],[ALCANCE]])),"")</f>
        <v/>
      </c>
    </row>
    <row r="73" spans="1:10" x14ac:dyDescent="0.25">
      <c r="A73" s="12"/>
      <c r="B73" s="13"/>
      <c r="C73" s="14"/>
      <c r="D73" s="14"/>
      <c r="E73" s="14"/>
      <c r="F73" s="14"/>
      <c r="G73" s="14"/>
      <c r="H73" s="14"/>
      <c r="I73" s="14"/>
      <c r="J73" s="15" t="str">
        <f>IFERROR((((Tabela1[[#This Row],[CURTIDAS]]+Tabela1[[#This Row],[COMENTÁRIOS]]+Tabela1[[#This Row],[SALVOS]])/Tabela1[[#This Row],[ALCANCE]])),"")</f>
        <v/>
      </c>
    </row>
    <row r="74" spans="1:10" x14ac:dyDescent="0.25">
      <c r="A74" s="12"/>
      <c r="B74" s="13"/>
      <c r="C74" s="14"/>
      <c r="D74" s="14"/>
      <c r="E74" s="14"/>
      <c r="F74" s="14"/>
      <c r="G74" s="14"/>
      <c r="H74" s="14"/>
      <c r="I74" s="14"/>
      <c r="J74" s="15" t="str">
        <f>IFERROR((((Tabela1[[#This Row],[CURTIDAS]]+Tabela1[[#This Row],[COMENTÁRIOS]]+Tabela1[[#This Row],[SALVOS]])/Tabela1[[#This Row],[ALCANCE]])),"")</f>
        <v/>
      </c>
    </row>
    <row r="75" spans="1:10" x14ac:dyDescent="0.25">
      <c r="A75" s="12"/>
      <c r="B75" s="13"/>
      <c r="C75" s="14"/>
      <c r="D75" s="14"/>
      <c r="E75" s="14"/>
      <c r="F75" s="14"/>
      <c r="G75" s="14"/>
      <c r="H75" s="14"/>
      <c r="I75" s="14"/>
      <c r="J75" s="15" t="str">
        <f>IFERROR((((Tabela1[[#This Row],[CURTIDAS]]+Tabela1[[#This Row],[COMENTÁRIOS]]+Tabela1[[#This Row],[SALVOS]])/Tabela1[[#This Row],[ALCANCE]])),"")</f>
        <v/>
      </c>
    </row>
    <row r="76" spans="1:10" x14ac:dyDescent="0.25">
      <c r="A76" s="12"/>
      <c r="B76" s="13"/>
      <c r="C76" s="14"/>
      <c r="D76" s="14"/>
      <c r="E76" s="14"/>
      <c r="F76" s="14"/>
      <c r="G76" s="14"/>
      <c r="H76" s="14"/>
      <c r="I76" s="14"/>
      <c r="J76" s="15" t="str">
        <f>IFERROR((((Tabela1[[#This Row],[CURTIDAS]]+Tabela1[[#This Row],[COMENTÁRIOS]]+Tabela1[[#This Row],[SALVOS]])/Tabela1[[#This Row],[ALCANCE]])),"")</f>
        <v/>
      </c>
    </row>
    <row r="77" spans="1:10" x14ac:dyDescent="0.25">
      <c r="A77" s="12"/>
      <c r="B77" s="13"/>
      <c r="C77" s="14"/>
      <c r="D77" s="14"/>
      <c r="E77" s="14"/>
      <c r="F77" s="14"/>
      <c r="G77" s="14"/>
      <c r="H77" s="14"/>
      <c r="I77" s="14"/>
      <c r="J77" s="15" t="str">
        <f>IFERROR((((Tabela1[[#This Row],[CURTIDAS]]+Tabela1[[#This Row],[COMENTÁRIOS]]+Tabela1[[#This Row],[SALVOS]])/Tabela1[[#This Row],[ALCANCE]])),"")</f>
        <v/>
      </c>
    </row>
    <row r="78" spans="1:10" x14ac:dyDescent="0.25">
      <c r="A78" s="12"/>
      <c r="B78" s="13"/>
      <c r="C78" s="14"/>
      <c r="D78" s="14"/>
      <c r="E78" s="14"/>
      <c r="F78" s="14"/>
      <c r="G78" s="14"/>
      <c r="H78" s="14"/>
      <c r="I78" s="14"/>
      <c r="J78" s="15" t="str">
        <f>IFERROR((((Tabela1[[#This Row],[CURTIDAS]]+Tabela1[[#This Row],[COMENTÁRIOS]]+Tabela1[[#This Row],[SALVOS]])/Tabela1[[#This Row],[ALCANCE]])),"")</f>
        <v/>
      </c>
    </row>
    <row r="79" spans="1:10" x14ac:dyDescent="0.25">
      <c r="A79" s="12"/>
      <c r="B79" s="13"/>
      <c r="C79" s="14"/>
      <c r="D79" s="14"/>
      <c r="E79" s="14"/>
      <c r="F79" s="14"/>
      <c r="G79" s="14"/>
      <c r="H79" s="14"/>
      <c r="I79" s="14"/>
      <c r="J79" s="15" t="str">
        <f>IFERROR((((Tabela1[[#This Row],[CURTIDAS]]+Tabela1[[#This Row],[COMENTÁRIOS]]+Tabela1[[#This Row],[SALVOS]])/Tabela1[[#This Row],[ALCANCE]])),"")</f>
        <v/>
      </c>
    </row>
    <row r="80" spans="1:10" x14ac:dyDescent="0.25">
      <c r="A80" s="12"/>
      <c r="B80" s="13"/>
      <c r="C80" s="14"/>
      <c r="D80" s="14"/>
      <c r="E80" s="14"/>
      <c r="F80" s="14"/>
      <c r="G80" s="14"/>
      <c r="H80" s="14"/>
      <c r="I80" s="14"/>
      <c r="J80" s="15" t="str">
        <f>IFERROR((((Tabela1[[#This Row],[CURTIDAS]]+Tabela1[[#This Row],[COMENTÁRIOS]]+Tabela1[[#This Row],[SALVOS]])/Tabela1[[#This Row],[ALCANCE]])),"")</f>
        <v/>
      </c>
    </row>
    <row r="81" spans="1:10" x14ac:dyDescent="0.25">
      <c r="A81" s="12"/>
      <c r="B81" s="13"/>
      <c r="C81" s="14"/>
      <c r="D81" s="14"/>
      <c r="E81" s="14"/>
      <c r="F81" s="14"/>
      <c r="G81" s="14"/>
      <c r="H81" s="14"/>
      <c r="I81" s="14"/>
      <c r="J81" s="15" t="str">
        <f>IFERROR((((Tabela1[[#This Row],[CURTIDAS]]+Tabela1[[#This Row],[COMENTÁRIOS]]+Tabela1[[#This Row],[SALVOS]])/Tabela1[[#This Row],[ALCANCE]])),"")</f>
        <v/>
      </c>
    </row>
    <row r="82" spans="1:10" x14ac:dyDescent="0.25">
      <c r="A82" s="12"/>
      <c r="B82" s="13"/>
      <c r="C82" s="14"/>
      <c r="D82" s="14"/>
      <c r="E82" s="14"/>
      <c r="F82" s="14"/>
      <c r="G82" s="14"/>
      <c r="H82" s="14"/>
      <c r="I82" s="14"/>
      <c r="J82" s="15" t="str">
        <f>IFERROR((((Tabela1[[#This Row],[CURTIDAS]]+Tabela1[[#This Row],[COMENTÁRIOS]]+Tabela1[[#This Row],[SALVOS]])/Tabela1[[#This Row],[ALCANCE]])),"")</f>
        <v/>
      </c>
    </row>
    <row r="83" spans="1:10" x14ac:dyDescent="0.25">
      <c r="A83" s="12"/>
      <c r="B83" s="13"/>
      <c r="C83" s="14"/>
      <c r="D83" s="14"/>
      <c r="E83" s="14"/>
      <c r="F83" s="14"/>
      <c r="G83" s="14"/>
      <c r="H83" s="14"/>
      <c r="I83" s="14"/>
      <c r="J83" s="15" t="str">
        <f>IFERROR((((Tabela1[[#This Row],[CURTIDAS]]+Tabela1[[#This Row],[COMENTÁRIOS]]+Tabela1[[#This Row],[SALVOS]])/Tabela1[[#This Row],[ALCANCE]])),"")</f>
        <v/>
      </c>
    </row>
    <row r="84" spans="1:10" x14ac:dyDescent="0.25">
      <c r="A84" s="12"/>
      <c r="B84" s="13"/>
      <c r="C84" s="14"/>
      <c r="D84" s="14"/>
      <c r="E84" s="14"/>
      <c r="F84" s="14"/>
      <c r="G84" s="14"/>
      <c r="H84" s="14"/>
      <c r="I84" s="14"/>
      <c r="J84" s="15" t="str">
        <f>IFERROR((((Tabela1[[#This Row],[CURTIDAS]]+Tabela1[[#This Row],[COMENTÁRIOS]]+Tabela1[[#This Row],[SALVOS]])/Tabela1[[#This Row],[ALCANCE]])),"")</f>
        <v/>
      </c>
    </row>
    <row r="85" spans="1:10" x14ac:dyDescent="0.25">
      <c r="A85" s="12"/>
      <c r="B85" s="13"/>
      <c r="C85" s="14"/>
      <c r="D85" s="14"/>
      <c r="E85" s="14"/>
      <c r="F85" s="14"/>
      <c r="G85" s="14"/>
      <c r="H85" s="14"/>
      <c r="I85" s="14"/>
      <c r="J85" s="15" t="str">
        <f>IFERROR((((Tabela1[[#This Row],[CURTIDAS]]+Tabela1[[#This Row],[COMENTÁRIOS]]+Tabela1[[#This Row],[SALVOS]])/Tabela1[[#This Row],[ALCANCE]])),"")</f>
        <v/>
      </c>
    </row>
    <row r="86" spans="1:10" x14ac:dyDescent="0.25">
      <c r="A86" s="12"/>
      <c r="B86" s="13"/>
      <c r="C86" s="14"/>
      <c r="D86" s="14"/>
      <c r="E86" s="14"/>
      <c r="F86" s="14"/>
      <c r="G86" s="14"/>
      <c r="H86" s="14"/>
      <c r="I86" s="14"/>
      <c r="J86" s="15" t="str">
        <f>IFERROR((((Tabela1[[#This Row],[CURTIDAS]]+Tabela1[[#This Row],[COMENTÁRIOS]]+Tabela1[[#This Row],[SALVOS]])/Tabela1[[#This Row],[ALCANCE]])),"")</f>
        <v/>
      </c>
    </row>
    <row r="87" spans="1:10" x14ac:dyDescent="0.25">
      <c r="A87" s="12"/>
      <c r="B87" s="13"/>
      <c r="C87" s="14"/>
      <c r="D87" s="14"/>
      <c r="E87" s="14"/>
      <c r="F87" s="14"/>
      <c r="G87" s="14"/>
      <c r="H87" s="14"/>
      <c r="I87" s="14"/>
      <c r="J87" s="15" t="str">
        <f>IFERROR((((Tabela1[[#This Row],[CURTIDAS]]+Tabela1[[#This Row],[COMENTÁRIOS]]+Tabela1[[#This Row],[SALVOS]])/Tabela1[[#This Row],[ALCANCE]])),"")</f>
        <v/>
      </c>
    </row>
    <row r="88" spans="1:10" x14ac:dyDescent="0.25">
      <c r="A88" s="12"/>
      <c r="B88" s="13"/>
      <c r="C88" s="14"/>
      <c r="D88" s="14"/>
      <c r="E88" s="14"/>
      <c r="F88" s="14"/>
      <c r="G88" s="14"/>
      <c r="H88" s="14"/>
      <c r="I88" s="14"/>
      <c r="J88" s="15" t="str">
        <f>IFERROR((((Tabela1[[#This Row],[CURTIDAS]]+Tabela1[[#This Row],[COMENTÁRIOS]]+Tabela1[[#This Row],[SALVOS]])/Tabela1[[#This Row],[ALCANCE]])),"")</f>
        <v/>
      </c>
    </row>
    <row r="89" spans="1:10" x14ac:dyDescent="0.25">
      <c r="A89" s="12"/>
      <c r="B89" s="13"/>
      <c r="C89" s="14"/>
      <c r="D89" s="14"/>
      <c r="E89" s="14"/>
      <c r="F89" s="14"/>
      <c r="G89" s="14"/>
      <c r="H89" s="14"/>
      <c r="I89" s="14"/>
      <c r="J89" s="15" t="str">
        <f>IFERROR((((Tabela1[[#This Row],[CURTIDAS]]+Tabela1[[#This Row],[COMENTÁRIOS]]+Tabela1[[#This Row],[SALVOS]])/Tabela1[[#This Row],[ALCANCE]])),"")</f>
        <v/>
      </c>
    </row>
    <row r="90" spans="1:10" x14ac:dyDescent="0.25">
      <c r="A90" s="12"/>
      <c r="B90" s="13"/>
      <c r="C90" s="14"/>
      <c r="D90" s="14"/>
      <c r="E90" s="14"/>
      <c r="F90" s="14"/>
      <c r="G90" s="14"/>
      <c r="H90" s="14"/>
      <c r="I90" s="14"/>
      <c r="J90" s="15" t="str">
        <f>IFERROR((((Tabela1[[#This Row],[CURTIDAS]]+Tabela1[[#This Row],[COMENTÁRIOS]]+Tabela1[[#This Row],[SALVOS]])/Tabela1[[#This Row],[ALCANCE]])),"")</f>
        <v/>
      </c>
    </row>
    <row r="91" spans="1:10" x14ac:dyDescent="0.25">
      <c r="A91" s="12"/>
      <c r="B91" s="13"/>
      <c r="C91" s="14"/>
      <c r="D91" s="14"/>
      <c r="E91" s="14"/>
      <c r="F91" s="14"/>
      <c r="G91" s="14"/>
      <c r="H91" s="14"/>
      <c r="I91" s="14"/>
      <c r="J91" s="15" t="str">
        <f>IFERROR((((Tabela1[[#This Row],[CURTIDAS]]+Tabela1[[#This Row],[COMENTÁRIOS]]+Tabela1[[#This Row],[SALVOS]])/Tabela1[[#This Row],[ALCANCE]])),"")</f>
        <v/>
      </c>
    </row>
    <row r="92" spans="1:10" x14ac:dyDescent="0.25">
      <c r="A92" s="12"/>
      <c r="B92" s="13"/>
      <c r="C92" s="14"/>
      <c r="D92" s="14"/>
      <c r="E92" s="14"/>
      <c r="F92" s="14"/>
      <c r="G92" s="14"/>
      <c r="H92" s="14"/>
      <c r="I92" s="14"/>
      <c r="J92" s="15" t="str">
        <f>IFERROR((((Tabela1[[#This Row],[CURTIDAS]]+Tabela1[[#This Row],[COMENTÁRIOS]]+Tabela1[[#This Row],[SALVOS]])/Tabela1[[#This Row],[ALCANCE]])),"")</f>
        <v/>
      </c>
    </row>
    <row r="93" spans="1:10" x14ac:dyDescent="0.25">
      <c r="A93" s="12"/>
      <c r="B93" s="13"/>
      <c r="C93" s="14"/>
      <c r="D93" s="14"/>
      <c r="E93" s="14"/>
      <c r="F93" s="14"/>
      <c r="G93" s="14"/>
      <c r="H93" s="14"/>
      <c r="I93" s="14"/>
      <c r="J93" s="15" t="str">
        <f>IFERROR((((Tabela1[[#This Row],[CURTIDAS]]+Tabela1[[#This Row],[COMENTÁRIOS]]+Tabela1[[#This Row],[SALVOS]])/Tabela1[[#This Row],[ALCANCE]])),"")</f>
        <v/>
      </c>
    </row>
    <row r="94" spans="1:10" x14ac:dyDescent="0.25">
      <c r="A94" s="12"/>
      <c r="B94" s="13"/>
      <c r="C94" s="14"/>
      <c r="D94" s="14"/>
      <c r="E94" s="14"/>
      <c r="F94" s="14"/>
      <c r="G94" s="14"/>
      <c r="H94" s="14"/>
      <c r="I94" s="14"/>
      <c r="J94" s="15" t="str">
        <f>IFERROR((((Tabela1[[#This Row],[CURTIDAS]]+Tabela1[[#This Row],[COMENTÁRIOS]]+Tabela1[[#This Row],[SALVOS]])/Tabela1[[#This Row],[ALCANCE]])),"")</f>
        <v/>
      </c>
    </row>
    <row r="95" spans="1:10" x14ac:dyDescent="0.25">
      <c r="A95" s="12"/>
      <c r="B95" s="13"/>
      <c r="C95" s="14"/>
      <c r="D95" s="14"/>
      <c r="E95" s="14"/>
      <c r="F95" s="14"/>
      <c r="G95" s="14"/>
      <c r="H95" s="14"/>
      <c r="I95" s="14"/>
      <c r="J95" s="15" t="str">
        <f>IFERROR((((Tabela1[[#This Row],[CURTIDAS]]+Tabela1[[#This Row],[COMENTÁRIOS]]+Tabela1[[#This Row],[SALVOS]])/Tabela1[[#This Row],[ALCANCE]])),"")</f>
        <v/>
      </c>
    </row>
    <row r="96" spans="1:10" x14ac:dyDescent="0.25">
      <c r="A96" s="12"/>
      <c r="B96" s="13"/>
      <c r="C96" s="14"/>
      <c r="D96" s="14"/>
      <c r="E96" s="14"/>
      <c r="F96" s="14"/>
      <c r="G96" s="14"/>
      <c r="H96" s="14"/>
      <c r="I96" s="14"/>
      <c r="J96" s="15" t="str">
        <f>IFERROR((((Tabela1[[#This Row],[CURTIDAS]]+Tabela1[[#This Row],[COMENTÁRIOS]]+Tabela1[[#This Row],[SALVOS]])/Tabela1[[#This Row],[ALCANCE]])),"")</f>
        <v/>
      </c>
    </row>
    <row r="97" spans="1:10" x14ac:dyDescent="0.25">
      <c r="A97" s="12"/>
      <c r="B97" s="13"/>
      <c r="C97" s="14"/>
      <c r="D97" s="14"/>
      <c r="E97" s="14"/>
      <c r="F97" s="14"/>
      <c r="G97" s="14"/>
      <c r="H97" s="14"/>
      <c r="I97" s="14"/>
      <c r="J97" s="15" t="str">
        <f>IFERROR((((Tabela1[[#This Row],[CURTIDAS]]+Tabela1[[#This Row],[COMENTÁRIOS]]+Tabela1[[#This Row],[SALVOS]])/Tabela1[[#This Row],[ALCANCE]])),"")</f>
        <v/>
      </c>
    </row>
    <row r="98" spans="1:10" x14ac:dyDescent="0.25">
      <c r="A98" s="12"/>
      <c r="B98" s="13"/>
      <c r="C98" s="14"/>
      <c r="D98" s="14"/>
      <c r="E98" s="14"/>
      <c r="F98" s="14"/>
      <c r="G98" s="14"/>
      <c r="H98" s="14"/>
      <c r="I98" s="14"/>
      <c r="J98" s="15" t="str">
        <f>IFERROR((((Tabela1[[#This Row],[CURTIDAS]]+Tabela1[[#This Row],[COMENTÁRIOS]]+Tabela1[[#This Row],[SALVOS]])/Tabela1[[#This Row],[ALCANCE]])),"")</f>
        <v/>
      </c>
    </row>
    <row r="99" spans="1:10" x14ac:dyDescent="0.25">
      <c r="A99" s="12"/>
      <c r="B99" s="13"/>
      <c r="C99" s="14"/>
      <c r="D99" s="14"/>
      <c r="E99" s="14"/>
      <c r="F99" s="14"/>
      <c r="G99" s="14"/>
      <c r="H99" s="14"/>
      <c r="I99" s="14"/>
      <c r="J99" s="15" t="str">
        <f>IFERROR((((Tabela1[[#This Row],[CURTIDAS]]+Tabela1[[#This Row],[COMENTÁRIOS]]+Tabela1[[#This Row],[SALVOS]])/Tabela1[[#This Row],[ALCANCE]])),"")</f>
        <v/>
      </c>
    </row>
    <row r="100" spans="1:10" x14ac:dyDescent="0.25">
      <c r="A100" s="7"/>
      <c r="B100" s="8"/>
      <c r="C100" s="9"/>
      <c r="D100" s="9"/>
      <c r="E100" s="9"/>
      <c r="F100" s="9"/>
      <c r="G100" s="9"/>
      <c r="H100" s="9"/>
      <c r="I100" s="9"/>
      <c r="J100" s="20" t="str">
        <f>IFERROR((((Tabela1[[#This Row],[CURTIDAS]]+Tabela1[[#This Row],[COMENTÁRIOS]]+Tabela1[[#This Row],[SALVOS]])/Tabela1[[#This Row],[ALCANCE]])),"")</f>
        <v/>
      </c>
    </row>
    <row r="101" spans="1:10" x14ac:dyDescent="0.25">
      <c r="A101" s="21"/>
      <c r="B101" s="22"/>
      <c r="C101" s="23"/>
      <c r="D101" s="23"/>
      <c r="E101" s="23"/>
      <c r="F101" s="23"/>
      <c r="G101" s="23"/>
      <c r="H101" s="23"/>
      <c r="I101" s="23"/>
      <c r="J101" s="24"/>
    </row>
    <row r="102" spans="1:10" x14ac:dyDescent="0.25">
      <c r="A102" s="21"/>
      <c r="B102" s="22"/>
      <c r="C102" s="23"/>
      <c r="D102" s="23"/>
      <c r="E102" s="23"/>
      <c r="F102" s="23"/>
      <c r="G102" s="23"/>
      <c r="H102" s="23"/>
      <c r="I102" s="23"/>
      <c r="J102" s="24"/>
    </row>
    <row r="103" spans="1:10" x14ac:dyDescent="0.25">
      <c r="A103" s="21"/>
      <c r="B103" s="22"/>
      <c r="C103" s="23"/>
      <c r="D103" s="23"/>
      <c r="E103" s="23"/>
      <c r="F103" s="23"/>
      <c r="G103" s="23"/>
      <c r="H103" s="23"/>
      <c r="I103" s="23"/>
      <c r="J103" s="24"/>
    </row>
    <row r="104" spans="1:10" x14ac:dyDescent="0.25">
      <c r="A104" s="21"/>
      <c r="B104" s="22"/>
      <c r="C104" s="23"/>
      <c r="D104" s="23"/>
      <c r="E104" s="23"/>
      <c r="F104" s="23"/>
      <c r="G104" s="23"/>
      <c r="H104" s="23"/>
      <c r="I104" s="23"/>
      <c r="J104" s="24"/>
    </row>
    <row r="105" spans="1:10" x14ac:dyDescent="0.25">
      <c r="A105" s="21"/>
      <c r="B105" s="22"/>
      <c r="C105" s="23"/>
      <c r="D105" s="23"/>
      <c r="E105" s="23"/>
      <c r="F105" s="23"/>
      <c r="G105" s="23"/>
      <c r="H105" s="23"/>
      <c r="I105" s="23"/>
      <c r="J105" s="24"/>
    </row>
    <row r="106" spans="1:10" x14ac:dyDescent="0.25">
      <c r="A106" s="21"/>
      <c r="B106" s="22"/>
      <c r="C106" s="23"/>
      <c r="D106" s="23"/>
      <c r="E106" s="23"/>
      <c r="F106" s="23"/>
      <c r="G106" s="23"/>
      <c r="H106" s="23"/>
      <c r="I106" s="23"/>
      <c r="J106" s="24"/>
    </row>
    <row r="107" spans="1:10" x14ac:dyDescent="0.25">
      <c r="A107" s="21"/>
      <c r="B107" s="22"/>
      <c r="C107" s="23"/>
      <c r="D107" s="23"/>
      <c r="E107" s="23"/>
      <c r="F107" s="23"/>
      <c r="G107" s="23"/>
      <c r="H107" s="23"/>
      <c r="I107" s="23"/>
      <c r="J107" s="24"/>
    </row>
    <row r="108" spans="1:10" x14ac:dyDescent="0.25">
      <c r="A108" s="21"/>
      <c r="B108" s="22"/>
      <c r="C108" s="23"/>
      <c r="D108" s="23"/>
      <c r="E108" s="23"/>
      <c r="F108" s="23"/>
      <c r="G108" s="23"/>
      <c r="H108" s="23"/>
      <c r="I108" s="23"/>
      <c r="J108" s="24"/>
    </row>
    <row r="109" spans="1:10" x14ac:dyDescent="0.25">
      <c r="A109" s="21"/>
      <c r="B109" s="22"/>
      <c r="C109" s="23"/>
      <c r="D109" s="23"/>
      <c r="E109" s="23"/>
      <c r="F109" s="23"/>
      <c r="G109" s="23"/>
      <c r="H109" s="23"/>
      <c r="I109" s="23"/>
      <c r="J109" s="24"/>
    </row>
    <row r="110" spans="1:10" x14ac:dyDescent="0.25">
      <c r="A110" s="21"/>
      <c r="B110" s="22"/>
      <c r="C110" s="23"/>
      <c r="D110" s="23"/>
      <c r="E110" s="23"/>
      <c r="F110" s="23"/>
      <c r="G110" s="23"/>
      <c r="H110" s="23"/>
      <c r="I110" s="23"/>
      <c r="J110" s="24"/>
    </row>
    <row r="111" spans="1:10" x14ac:dyDescent="0.25">
      <c r="A111" s="21"/>
      <c r="B111" s="22"/>
      <c r="C111" s="23"/>
      <c r="D111" s="23"/>
      <c r="E111" s="23"/>
      <c r="F111" s="23"/>
      <c r="G111" s="23"/>
      <c r="H111" s="23"/>
      <c r="I111" s="23"/>
      <c r="J111" s="24"/>
    </row>
    <row r="112" spans="1:10" x14ac:dyDescent="0.25">
      <c r="A112" s="21"/>
      <c r="B112" s="22"/>
      <c r="C112" s="23"/>
      <c r="D112" s="23"/>
      <c r="E112" s="23"/>
      <c r="F112" s="23"/>
      <c r="G112" s="23"/>
      <c r="H112" s="23"/>
      <c r="I112" s="23"/>
      <c r="J112" s="24"/>
    </row>
    <row r="113" spans="1:10" x14ac:dyDescent="0.25">
      <c r="A113" s="21"/>
      <c r="B113" s="22"/>
      <c r="C113" s="23"/>
      <c r="D113" s="23"/>
      <c r="E113" s="23"/>
      <c r="F113" s="23"/>
      <c r="G113" s="23"/>
      <c r="H113" s="23"/>
      <c r="I113" s="23"/>
      <c r="J113" s="24"/>
    </row>
    <row r="114" spans="1:10" x14ac:dyDescent="0.25">
      <c r="A114" s="21"/>
      <c r="B114" s="22"/>
      <c r="C114" s="23"/>
      <c r="D114" s="23"/>
      <c r="E114" s="23"/>
      <c r="F114" s="23"/>
      <c r="G114" s="23"/>
      <c r="H114" s="23"/>
      <c r="I114" s="23"/>
      <c r="J114" s="24"/>
    </row>
    <row r="115" spans="1:10" x14ac:dyDescent="0.25">
      <c r="A115" s="21"/>
      <c r="B115" s="22"/>
      <c r="C115" s="23"/>
      <c r="D115" s="23"/>
      <c r="E115" s="23"/>
      <c r="F115" s="23"/>
      <c r="G115" s="23"/>
      <c r="H115" s="23"/>
      <c r="I115" s="23"/>
      <c r="J115" s="24"/>
    </row>
    <row r="116" spans="1:10" x14ac:dyDescent="0.25">
      <c r="A116" s="21"/>
      <c r="B116" s="22"/>
      <c r="C116" s="23"/>
      <c r="D116" s="23"/>
      <c r="E116" s="23"/>
      <c r="F116" s="23"/>
      <c r="G116" s="23"/>
      <c r="H116" s="23"/>
      <c r="I116" s="23"/>
      <c r="J116" s="24"/>
    </row>
    <row r="117" spans="1:10" x14ac:dyDescent="0.25">
      <c r="A117" s="21"/>
      <c r="B117" s="22"/>
      <c r="C117" s="23"/>
      <c r="D117" s="23"/>
      <c r="E117" s="23"/>
      <c r="F117" s="23"/>
      <c r="G117" s="23"/>
      <c r="H117" s="23"/>
      <c r="I117" s="23"/>
      <c r="J117" s="24"/>
    </row>
    <row r="118" spans="1:10" x14ac:dyDescent="0.25">
      <c r="A118" s="21"/>
      <c r="B118" s="22"/>
      <c r="C118" s="23"/>
      <c r="D118" s="23"/>
      <c r="E118" s="23"/>
      <c r="F118" s="23"/>
      <c r="G118" s="23"/>
      <c r="H118" s="23"/>
      <c r="I118" s="23"/>
      <c r="J118" s="24"/>
    </row>
    <row r="119" spans="1:10" x14ac:dyDescent="0.25">
      <c r="A119" s="21"/>
      <c r="B119" s="22"/>
      <c r="C119" s="23"/>
      <c r="D119" s="23"/>
      <c r="E119" s="23"/>
      <c r="F119" s="23"/>
      <c r="G119" s="23"/>
      <c r="H119" s="23"/>
      <c r="I119" s="23"/>
      <c r="J119" s="24"/>
    </row>
    <row r="120" spans="1:10" x14ac:dyDescent="0.25">
      <c r="A120" s="21"/>
      <c r="B120" s="22"/>
      <c r="C120" s="23"/>
      <c r="D120" s="23"/>
      <c r="E120" s="23"/>
      <c r="F120" s="23"/>
      <c r="G120" s="23"/>
      <c r="H120" s="23"/>
      <c r="I120" s="23"/>
      <c r="J120" s="24"/>
    </row>
    <row r="121" spans="1:10" x14ac:dyDescent="0.25">
      <c r="A121" s="21"/>
      <c r="B121" s="22"/>
      <c r="C121" s="23"/>
      <c r="D121" s="23"/>
      <c r="E121" s="23"/>
      <c r="F121" s="23"/>
      <c r="G121" s="23"/>
      <c r="H121" s="23"/>
      <c r="I121" s="23"/>
      <c r="J121" s="24"/>
    </row>
    <row r="122" spans="1:10" x14ac:dyDescent="0.25">
      <c r="A122" s="21"/>
      <c r="B122" s="22"/>
      <c r="C122" s="23"/>
      <c r="D122" s="23"/>
      <c r="E122" s="23"/>
      <c r="F122" s="23"/>
      <c r="G122" s="23"/>
      <c r="H122" s="23"/>
      <c r="I122" s="23"/>
      <c r="J122" s="24"/>
    </row>
    <row r="123" spans="1:10" x14ac:dyDescent="0.25">
      <c r="A123" s="21"/>
      <c r="B123" s="22"/>
      <c r="C123" s="23"/>
      <c r="D123" s="23"/>
      <c r="E123" s="23"/>
      <c r="F123" s="23"/>
      <c r="G123" s="23"/>
      <c r="H123" s="23"/>
      <c r="I123" s="23"/>
      <c r="J123" s="24"/>
    </row>
    <row r="124" spans="1:10" x14ac:dyDescent="0.25">
      <c r="A124" s="21"/>
      <c r="B124" s="22"/>
      <c r="C124" s="23"/>
      <c r="D124" s="23"/>
      <c r="E124" s="23"/>
      <c r="F124" s="23"/>
      <c r="G124" s="23"/>
      <c r="H124" s="23"/>
      <c r="I124" s="23"/>
      <c r="J124" s="24"/>
    </row>
    <row r="125" spans="1:10" x14ac:dyDescent="0.25">
      <c r="A125" s="21"/>
      <c r="B125" s="22"/>
      <c r="C125" s="23"/>
      <c r="D125" s="23"/>
      <c r="E125" s="23"/>
      <c r="F125" s="23"/>
      <c r="G125" s="23"/>
      <c r="H125" s="23"/>
      <c r="I125" s="23"/>
      <c r="J125" s="24"/>
    </row>
    <row r="126" spans="1:10" x14ac:dyDescent="0.25">
      <c r="A126" s="21"/>
      <c r="B126" s="22"/>
      <c r="C126" s="23"/>
      <c r="D126" s="23"/>
      <c r="E126" s="23"/>
      <c r="F126" s="23"/>
      <c r="G126" s="23"/>
      <c r="H126" s="23"/>
      <c r="I126" s="23"/>
      <c r="J126" s="24"/>
    </row>
    <row r="127" spans="1:10" x14ac:dyDescent="0.25">
      <c r="A127" s="21"/>
      <c r="B127" s="22"/>
      <c r="C127" s="23"/>
      <c r="D127" s="23"/>
      <c r="E127" s="23"/>
      <c r="F127" s="23"/>
      <c r="G127" s="23"/>
      <c r="H127" s="23"/>
      <c r="I127" s="23"/>
      <c r="J127" s="24"/>
    </row>
    <row r="128" spans="1:10" x14ac:dyDescent="0.25">
      <c r="A128" s="21"/>
      <c r="B128" s="22"/>
      <c r="C128" s="23"/>
      <c r="D128" s="23"/>
      <c r="E128" s="23"/>
      <c r="F128" s="23"/>
      <c r="G128" s="23"/>
      <c r="H128" s="23"/>
      <c r="I128" s="23"/>
      <c r="J128" s="24"/>
    </row>
    <row r="129" spans="1:10" x14ac:dyDescent="0.25">
      <c r="A129" s="21"/>
      <c r="B129" s="22"/>
      <c r="C129" s="23"/>
      <c r="D129" s="23"/>
      <c r="E129" s="23"/>
      <c r="F129" s="23"/>
      <c r="G129" s="23"/>
      <c r="H129" s="23"/>
      <c r="I129" s="23"/>
      <c r="J129" s="24"/>
    </row>
    <row r="130" spans="1:10" x14ac:dyDescent="0.25">
      <c r="A130" s="21"/>
      <c r="B130" s="22"/>
      <c r="C130" s="23"/>
      <c r="D130" s="23"/>
      <c r="E130" s="23"/>
      <c r="F130" s="23"/>
      <c r="G130" s="23"/>
      <c r="H130" s="23"/>
      <c r="I130" s="23"/>
      <c r="J130" s="24"/>
    </row>
  </sheetData>
  <sheetProtection algorithmName="SHA-512" hashValue="TCCll7tONCzh1mNIhCfSGvLGkSJBo8u/Vn4qcKiZr+ki3CMRsHInBLDvoUAEZWwKUyNxsVs9b8P70k/I3Gc9hw==" saltValue="+w5nl5FLfFFMQUzKAMrwaw==" spinCount="100000" sheet="1" objects="1" scenarios="1" sort="0" autoFilter="0"/>
  <dataConsolidate/>
  <mergeCells count="3">
    <mergeCell ref="F1:J2"/>
    <mergeCell ref="A2:E2"/>
    <mergeCell ref="A1:E1"/>
  </mergeCells>
  <conditionalFormatting sqref="J101:J1048576 J3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{FCBD1D0D-EE36-4E88-AC56-C1FCB67364CB}</x14:id>
        </ext>
      </extLst>
    </cfRule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J4:J100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{AA5086D3-6E10-4BE7-BA56-F13EBDDED7C6}</x14:id>
        </ext>
      </extLst>
    </cfRule>
    <cfRule type="iconSet" priority="1">
      <iconSet iconSet="3Arrows">
        <cfvo type="percent" val="0"/>
        <cfvo type="percent" val="33"/>
        <cfvo type="percent" val="67"/>
      </iconSet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CBD1D0D-EE36-4E88-AC56-C1FCB67364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J101:J1048576 J3</xm:sqref>
        </x14:conditionalFormatting>
        <x14:conditionalFormatting xmlns:xm="http://schemas.microsoft.com/office/excel/2006/main">
          <x14:cfRule type="dataBar" id="{AA5086D3-6E10-4BE7-BA56-F13EBDDED7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J4:J100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'Campos de Selação'!$A$1:$A$2</xm:f>
          </x14:formula1>
          <xm:sqref>D1 D4:D1048576</xm:sqref>
        </x14:dataValidation>
        <x14:dataValidation type="list" allowBlank="1" showInputMessage="1" showErrorMessage="1">
          <x14:formula1>
            <xm:f>'Campos de Selação'!$B$1:$B$5</xm:f>
          </x14:formula1>
          <xm:sqref>E1 E3:E1048576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Planilhas de Base</vt:lpstr>
      <vt:lpstr>Campos de Selação</vt:lpstr>
      <vt:lpstr>Dashboard</vt:lpstr>
      <vt:lpstr>Calendário de Postagens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Scapinello</dc:creator>
  <cp:lastModifiedBy>Leonardo Scapinello</cp:lastModifiedBy>
  <dcterms:created xsi:type="dcterms:W3CDTF">2020-06-05T21:47:36Z</dcterms:created>
  <dcterms:modified xsi:type="dcterms:W3CDTF">2020-06-07T01:02:29Z</dcterms:modified>
</cp:coreProperties>
</file>